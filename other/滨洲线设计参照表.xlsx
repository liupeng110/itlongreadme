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114"/>
  <workbookPr defaultThemeVersion="124226"/>
  <bookViews>
    <workbookView xWindow="960" yWindow="720" windowWidth="11715" windowHeight="7815" tabRatio="271" activeTab="1"/>
  </bookViews>
  <sheets>
    <sheet name="里程限速表" sheetId="7" r:id="rId1"/>
    <sheet name="信号机说明" sheetId="5" r:id="rId2"/>
    <sheet name="MSTS计算器" sheetId="6" r:id="rId3"/>
    <sheet name="进度表" sheetId="8" r:id="rId4"/>
  </sheets>
  <calcPr calcId="144315"/>
</workbook>
</file>

<file path=xl/calcChain.xml><?xml version="1.0" encoding="utf-8"?>
<calcChain xmlns="http://schemas.openxmlformats.org/spreadsheetml/2006/main">
  <c r="D27" i="6" l="1"/>
  <c r="D26" i="6"/>
  <c r="D25" i="6"/>
  <c r="D24" i="6"/>
  <c r="D23" i="6"/>
  <c r="D22" i="6"/>
  <c r="D21" i="6"/>
  <c r="D18" i="6"/>
  <c r="D17" i="6"/>
  <c r="D16" i="6"/>
  <c r="D15" i="6"/>
  <c r="D14" i="6"/>
  <c r="D13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<sst xmlns="http://schemas.openxmlformats.org/spreadsheetml/2006/main" count="244" uniqueCount="218">
  <si>
    <t>线路编辑器中对象栏中的选择顺序</t>
    <phoneticPr fontId="1" type="noConversion"/>
  </si>
  <si>
    <t>对象选择栏中名称</t>
    <phoneticPr fontId="1" type="noConversion"/>
  </si>
  <si>
    <t>对应模型文件名</t>
    <phoneticPr fontId="3" type="noConversion"/>
  </si>
  <si>
    <t>信号机结构及灯序</t>
    <phoneticPr fontId="1" type="noConversion"/>
  </si>
  <si>
    <t>信号机名称、含义及用途</t>
    <phoneticPr fontId="1" type="noConversion"/>
  </si>
  <si>
    <t>BJ ChuZhan S4 Signal</t>
    <phoneticPr fontId="1" type="noConversion"/>
  </si>
  <si>
    <t>chuzhan.s</t>
  </si>
  <si>
    <t>矮式3结构，绿-红-黄</t>
    <phoneticPr fontId="1" type="noConversion"/>
  </si>
  <si>
    <t>四显示自动闭塞区段站线出站信号机</t>
    <phoneticPr fontId="1" type="noConversion"/>
  </si>
  <si>
    <t>BJ ChuZhan and DiaoChe</t>
    <phoneticPr fontId="1" type="noConversion"/>
  </si>
  <si>
    <t>fcjlh.s</t>
  </si>
  <si>
    <t>高杆2-2结构，绿-红、黄、白</t>
    <phoneticPr fontId="1" type="noConversion"/>
  </si>
  <si>
    <t>BJ ChuZhan-FuShi</t>
    <phoneticPr fontId="1" type="noConversion"/>
  </si>
  <si>
    <t>chuzhan-fushi.s</t>
  </si>
  <si>
    <t>矮式1灯，无显示、绿灯，菱形背板</t>
    <phoneticPr fontId="1" type="noConversion"/>
  </si>
  <si>
    <t>BJ DOUBLE GREEN Left</t>
    <phoneticPr fontId="1" type="noConversion"/>
  </si>
  <si>
    <t>hdgl.s</t>
  </si>
  <si>
    <t>高柱2-2结构，灯杆在左边</t>
    <phoneticPr fontId="1" type="noConversion"/>
  </si>
  <si>
    <t>BJ DOUBLE GREEN Right</t>
    <phoneticPr fontId="1" type="noConversion"/>
  </si>
  <si>
    <t>hdgr.s</t>
  </si>
  <si>
    <t>高柱2-2-1结构，灯杆在右边</t>
    <phoneticPr fontId="1" type="noConversion"/>
  </si>
  <si>
    <t>BJ DiaoChe FuShi</t>
    <phoneticPr fontId="3" type="noConversion"/>
  </si>
  <si>
    <t>Diaoche-TB.s</t>
  </si>
  <si>
    <t>矮式2结构，白-蓝</t>
    <phoneticPr fontId="3" type="noConversion"/>
  </si>
  <si>
    <t>调车信号，复示下一个信号Approach_1时，白灯</t>
    <phoneticPr fontId="3" type="noConversion"/>
  </si>
  <si>
    <t>BJ DiaoChe_QC_1 Signal</t>
    <phoneticPr fontId="3" type="noConversion"/>
  </si>
  <si>
    <t>DiaocheQC1.s</t>
  </si>
  <si>
    <t>高柱2结构，白-红</t>
    <phoneticPr fontId="3" type="noConversion"/>
  </si>
  <si>
    <t>调车信号，主体信号</t>
    <phoneticPr fontId="3" type="noConversion"/>
  </si>
  <si>
    <t>BJ DiaoChe_QC_2 Signal</t>
    <phoneticPr fontId="3" type="noConversion"/>
  </si>
  <si>
    <t>DiaocheQC2.s</t>
  </si>
  <si>
    <t>高柱2结构，白-蓝</t>
    <phoneticPr fontId="3" type="noConversion"/>
  </si>
  <si>
    <t>BJ DiaoChe_QC_3 Signal</t>
    <phoneticPr fontId="3" type="noConversion"/>
  </si>
  <si>
    <t>DiaocheQC3.s</t>
  </si>
  <si>
    <t>BJ DiaoChe_QC_4 Signal</t>
    <phoneticPr fontId="3" type="noConversion"/>
  </si>
  <si>
    <t>DiaocheQC4.s</t>
  </si>
  <si>
    <t>矮式2结构，白-红</t>
    <phoneticPr fontId="3" type="noConversion"/>
  </si>
  <si>
    <t>BJ FaChejinlu DG</t>
    <phoneticPr fontId="3" type="noConversion"/>
  </si>
  <si>
    <t>sdg.s</t>
  </si>
  <si>
    <t>矮式3-2结构，绿-黄-绿、白-红</t>
    <phoneticPr fontId="3" type="noConversion"/>
  </si>
  <si>
    <t>BJ FaChejinlu Signal</t>
    <phoneticPr fontId="3" type="noConversion"/>
  </si>
  <si>
    <t>FaChe_JL.s</t>
  </si>
  <si>
    <t>BJ Fachejinlu BSHQ</t>
    <phoneticPr fontId="3" type="noConversion"/>
  </si>
  <si>
    <t>FaChe_BSQ.s</t>
  </si>
  <si>
    <t>矮式1灯，无显示、白灯，菱形背板</t>
    <phoneticPr fontId="3" type="noConversion"/>
  </si>
  <si>
    <t>发车进路表示器，调车复示</t>
    <phoneticPr fontId="3" type="noConversion"/>
  </si>
  <si>
    <t>BJ JieChejinlu Signal</t>
    <phoneticPr fontId="3" type="noConversion"/>
  </si>
  <si>
    <t>JCJL.s</t>
  </si>
  <si>
    <t>矮式3-2结构，黄-绿-黄、红-白</t>
    <phoneticPr fontId="3" type="noConversion"/>
  </si>
  <si>
    <t>矮式接车进路信号机（可选择双黄灯或黄闪黄灯）</t>
    <phoneticPr fontId="3" type="noConversion"/>
  </si>
  <si>
    <t>BJ JinTouXian Signal</t>
    <phoneticPr fontId="3" type="noConversion"/>
  </si>
  <si>
    <t>Jintouxian.s</t>
  </si>
  <si>
    <t>矮式3结构，X-红-白</t>
    <phoneticPr fontId="3" type="noConversion"/>
  </si>
  <si>
    <t>尽头线信号</t>
    <phoneticPr fontId="3" type="noConversion"/>
  </si>
  <si>
    <t>BJ JinZhan H18 L-Signal</t>
    <phoneticPr fontId="3" type="noConversion"/>
  </si>
  <si>
    <t>BJJZH18.s</t>
  </si>
  <si>
    <t>高柱3-2结构，黄-绿、红-黄、白</t>
    <phoneticPr fontId="3" type="noConversion"/>
  </si>
  <si>
    <t>四显示自动闭塞区段进站信号机（可选择双黄灯或黄闪黄灯）</t>
    <phoneticPr fontId="3" type="noConversion"/>
  </si>
  <si>
    <t>BJ JinZhan Only DY</t>
    <phoneticPr fontId="3" type="noConversion"/>
  </si>
  <si>
    <t>BJOnlyDY.S</t>
  </si>
  <si>
    <t>BJ JinZhan R</t>
    <phoneticPr fontId="3" type="noConversion"/>
  </si>
  <si>
    <t>jinzhan-right.s</t>
  </si>
  <si>
    <t>四显示自动闭塞区段反方向进站信号机</t>
    <phoneticPr fontId="3" type="noConversion"/>
  </si>
  <si>
    <t>BJ JinZhan-FuShi L</t>
    <phoneticPr fontId="3" type="noConversion"/>
  </si>
  <si>
    <t>jinzhan-fushi.s</t>
  </si>
  <si>
    <t>菱形背板，三灯灯列式</t>
    <phoneticPr fontId="3" type="noConversion"/>
  </si>
  <si>
    <t>BJ JinZhan-FuShi R</t>
    <phoneticPr fontId="3" type="noConversion"/>
  </si>
  <si>
    <t>jinzhan-fushi-right.s</t>
  </si>
  <si>
    <t>BJ JinZhan-YuGao L</t>
    <phoneticPr fontId="3" type="noConversion"/>
  </si>
  <si>
    <t>jinzhan-yugao.s</t>
  </si>
  <si>
    <t>高柱2结构，绿-黄</t>
    <phoneticPr fontId="3" type="noConversion"/>
  </si>
  <si>
    <t>进站预告信号机</t>
    <phoneticPr fontId="3" type="noConversion"/>
  </si>
  <si>
    <t>BJ JinZhan-YuGao R</t>
    <phoneticPr fontId="3" type="noConversion"/>
  </si>
  <si>
    <t>jinzhan-yugao-right.s</t>
  </si>
  <si>
    <t>BJ JinZhan-YuGao S</t>
    <phoneticPr fontId="3" type="noConversion"/>
  </si>
  <si>
    <t>BJJZYGS.s</t>
  </si>
  <si>
    <t>矮式2结构，绿-黄</t>
    <phoneticPr fontId="3" type="noConversion"/>
  </si>
  <si>
    <t>矮式进站预告信号机，用于桥上或隧道内</t>
    <phoneticPr fontId="3" type="noConversion"/>
  </si>
  <si>
    <t>BJ JinZhan_R Only DY</t>
    <phoneticPr fontId="3" type="noConversion"/>
  </si>
  <si>
    <t>BJOnlyDY_R.S</t>
  </si>
  <si>
    <t>高柱2-2-1结构，黄-绿、红-黄、白</t>
    <phoneticPr fontId="3" type="noConversion"/>
  </si>
  <si>
    <t>BJ Only DoubleYellow</t>
    <phoneticPr fontId="3" type="noConversion"/>
  </si>
  <si>
    <t>BJJZO18.s</t>
  </si>
  <si>
    <t>BJ TongGuo H4 L-Signal</t>
    <phoneticPr fontId="3" type="noConversion"/>
  </si>
  <si>
    <t>tongguo.s</t>
  </si>
  <si>
    <t>高柱3结构，绿-红-黄</t>
    <phoneticPr fontId="3" type="noConversion"/>
  </si>
  <si>
    <t>四显示区段通过信号机，矮式用于桥隧</t>
    <phoneticPr fontId="3" type="noConversion"/>
  </si>
  <si>
    <t>BJ TongGuo H4 Right</t>
    <phoneticPr fontId="3" type="noConversion"/>
  </si>
  <si>
    <t>tongguo-right-4.s</t>
  </si>
  <si>
    <t>BJ TongGuo S4 Signal</t>
    <phoneticPr fontId="3" type="noConversion"/>
  </si>
  <si>
    <t>tongguo_4s.s</t>
  </si>
  <si>
    <t>矮式3结构，绿-红-黄</t>
    <phoneticPr fontId="3" type="noConversion"/>
  </si>
  <si>
    <t>BJ Tuofeng Signal</t>
    <phoneticPr fontId="3" type="noConversion"/>
  </si>
  <si>
    <t>Tuofeng.s</t>
  </si>
  <si>
    <t>高柱2-2结构，绿-红、黄-白</t>
    <phoneticPr fontId="3" type="noConversion"/>
  </si>
  <si>
    <t>驼峰信号</t>
    <phoneticPr fontId="3" type="noConversion"/>
  </si>
  <si>
    <t>CHN ChuZhan DG_DC4</t>
    <phoneticPr fontId="3" type="noConversion"/>
  </si>
  <si>
    <t>chuzhan-4auto-zhuci-high.s</t>
  </si>
  <si>
    <t>高柱3-2结构，绿-红-黄、绿-白</t>
    <phoneticPr fontId="3" type="noConversion"/>
  </si>
  <si>
    <t>CHN ChuZhan Only DoubleYellow</t>
    <phoneticPr fontId="3" type="noConversion"/>
  </si>
  <si>
    <t>ChuZhan_DY.s</t>
  </si>
  <si>
    <t>矮式3-2结构，黄-X-黄、白-红</t>
    <phoneticPr fontId="3" type="noConversion"/>
  </si>
  <si>
    <t>CHN JieCheJL_HDG</t>
    <phoneticPr fontId="3" type="noConversion"/>
  </si>
  <si>
    <t>JieChe_JLDGH.s</t>
  </si>
  <si>
    <t>高柱3-2结构，黄-绿-红、黄-绿</t>
    <phoneticPr fontId="3" type="noConversion"/>
  </si>
  <si>
    <t>接发车进路信号机，两方向</t>
    <phoneticPr fontId="3" type="noConversion"/>
  </si>
  <si>
    <t>CHN JieFaChe and DiaoChe</t>
    <phoneticPr fontId="3" type="noConversion"/>
  </si>
  <si>
    <t>CHNFCJL200.s</t>
  </si>
  <si>
    <t>高柱3-2结构，黄-绿-红、黄-白</t>
    <phoneticPr fontId="3" type="noConversion"/>
  </si>
  <si>
    <t>接发车进路信号机，兼作调车信号</t>
    <phoneticPr fontId="3" type="noConversion"/>
  </si>
  <si>
    <t>CHN TuoFeng FuShi</t>
    <phoneticPr fontId="3" type="noConversion"/>
  </si>
  <si>
    <t>CHNTFFSH.s</t>
  </si>
  <si>
    <t>高柱2-2结构，菱形背板，黄-绿、红*白</t>
    <phoneticPr fontId="3" type="noConversion"/>
  </si>
  <si>
    <t>驼峰复示信号</t>
    <phoneticPr fontId="3" type="noConversion"/>
  </si>
  <si>
    <t>DiaoChe_XuanZeFuShi</t>
    <phoneticPr fontId="3" type="noConversion"/>
  </si>
  <si>
    <t>DiaocheQC5.s</t>
  </si>
  <si>
    <t>调车选择复示，MSTS正线用，Approach_1，自定义是否白灯</t>
    <phoneticPr fontId="3" type="noConversion"/>
  </si>
  <si>
    <t>四显示自动闭塞区段站线出站信号机，兼作调车信号</t>
    <phoneticPr fontId="3" type="noConversion"/>
  </si>
  <si>
    <t>矮式3-2结构，绿-X黄、白-红</t>
    <phoneticPr fontId="3" type="noConversion"/>
  </si>
  <si>
    <r>
      <rPr>
        <b/>
        <sz val="9"/>
        <rFont val="宋体"/>
        <family val="3"/>
        <charset val="134"/>
      </rPr>
      <t>双黄灯</t>
    </r>
    <r>
      <rPr>
        <sz val="9"/>
        <rFont val="宋体"/>
        <family val="3"/>
        <charset val="134"/>
      </rPr>
      <t>侧向出站信号机，兼作调车信号</t>
    </r>
    <phoneticPr fontId="3" type="noConversion"/>
  </si>
  <si>
    <r>
      <t>只有</t>
    </r>
    <r>
      <rPr>
        <b/>
        <sz val="9"/>
        <rFont val="宋体"/>
        <family val="3"/>
        <charset val="134"/>
      </rPr>
      <t>双黄灯</t>
    </r>
    <r>
      <rPr>
        <sz val="9"/>
        <rFont val="宋体"/>
        <family val="3"/>
        <charset val="134"/>
      </rPr>
      <t>显示的进站信号机</t>
    </r>
    <phoneticPr fontId="3" type="noConversion"/>
  </si>
  <si>
    <r>
      <t>只有</t>
    </r>
    <r>
      <rPr>
        <b/>
        <sz val="9"/>
        <rFont val="宋体"/>
        <family val="3"/>
        <charset val="134"/>
      </rPr>
      <t>双黄灯</t>
    </r>
    <r>
      <rPr>
        <sz val="9"/>
        <rFont val="宋体"/>
        <family val="3"/>
        <charset val="134"/>
      </rPr>
      <t>的右侧侧线进站信号机,反方向</t>
    </r>
    <phoneticPr fontId="3" type="noConversion"/>
  </si>
  <si>
    <r>
      <t>只有</t>
    </r>
    <r>
      <rPr>
        <b/>
        <sz val="9"/>
        <rFont val="宋体"/>
        <family val="3"/>
        <charset val="134"/>
      </rPr>
      <t>双黄灯</t>
    </r>
    <r>
      <rPr>
        <sz val="9"/>
        <rFont val="宋体"/>
        <family val="3"/>
        <charset val="134"/>
      </rPr>
      <t>的进站信号机（默认黄闪黄灯，可选双黄灯）</t>
    </r>
    <phoneticPr fontId="3" type="noConversion"/>
  </si>
  <si>
    <r>
      <t>进站</t>
    </r>
    <r>
      <rPr>
        <b/>
        <sz val="9"/>
        <color rgb="FFFF0000"/>
        <rFont val="宋体"/>
        <family val="3"/>
        <charset val="134"/>
      </rPr>
      <t>复示</t>
    </r>
    <r>
      <rPr>
        <sz val="9"/>
        <rFont val="宋体"/>
        <family val="3"/>
        <charset val="134"/>
      </rPr>
      <t>信号机</t>
    </r>
    <phoneticPr fontId="3" type="noConversion"/>
  </si>
  <si>
    <r>
      <t>两方向</t>
    </r>
    <r>
      <rPr>
        <b/>
        <sz val="9"/>
        <color rgb="FFFF0000"/>
        <rFont val="宋体"/>
        <family val="3"/>
        <charset val="134"/>
      </rPr>
      <t>线路所通过信号</t>
    </r>
    <r>
      <rPr>
        <sz val="9"/>
        <rFont val="宋体"/>
        <family val="3"/>
        <charset val="134"/>
      </rPr>
      <t>，第一组头正常四显示，第二组头：双绿灯，灯序：绿-红、黄-绿</t>
    </r>
    <phoneticPr fontId="1" type="noConversion"/>
  </si>
  <si>
    <r>
      <t>四显示自动闭塞区段</t>
    </r>
    <r>
      <rPr>
        <b/>
        <sz val="9"/>
        <color rgb="FFFF0000"/>
        <rFont val="宋体"/>
        <family val="3"/>
        <charset val="134"/>
      </rPr>
      <t>两方向</t>
    </r>
    <r>
      <rPr>
        <sz val="9"/>
        <rFont val="宋体"/>
        <family val="3"/>
        <charset val="134"/>
      </rPr>
      <t>出站信号机，兼作调车信号</t>
    </r>
    <phoneticPr fontId="3" type="noConversion"/>
  </si>
  <si>
    <r>
      <rPr>
        <b/>
        <sz val="9"/>
        <color rgb="FFFF0000"/>
        <rFont val="宋体"/>
        <family val="3"/>
        <charset val="134"/>
      </rPr>
      <t>两方向</t>
    </r>
    <r>
      <rPr>
        <sz val="9"/>
        <rFont val="宋体"/>
        <family val="3"/>
        <charset val="134"/>
      </rPr>
      <t>站线出站信号机，兼作调车信号</t>
    </r>
    <phoneticPr fontId="3" type="noConversion"/>
  </si>
  <si>
    <r>
      <t>四显示自动闭塞区段</t>
    </r>
    <r>
      <rPr>
        <b/>
        <sz val="9"/>
        <color rgb="FFFF0000"/>
        <rFont val="宋体"/>
        <family val="3"/>
        <charset val="134"/>
      </rPr>
      <t>正线</t>
    </r>
    <r>
      <rPr>
        <sz val="9"/>
        <rFont val="宋体"/>
        <family val="3"/>
        <charset val="134"/>
      </rPr>
      <t>出站信号机，兼作调车信号</t>
    </r>
    <phoneticPr fontId="1" type="noConversion"/>
  </si>
  <si>
    <r>
      <t>矮式出站</t>
    </r>
    <r>
      <rPr>
        <b/>
        <sz val="9"/>
        <color rgb="FFFF0000"/>
        <rFont val="宋体"/>
        <family val="3"/>
        <charset val="134"/>
      </rPr>
      <t>复示</t>
    </r>
    <r>
      <rPr>
        <sz val="9"/>
        <rFont val="宋体"/>
        <family val="3"/>
        <charset val="134"/>
      </rPr>
      <t>信号机</t>
    </r>
    <phoneticPr fontId="1" type="noConversion"/>
  </si>
  <si>
    <t>曲线半径</t>
    <phoneticPr fontId="4" type="noConversion"/>
  </si>
  <si>
    <t>曲线度数</t>
    <phoneticPr fontId="4" type="noConversion"/>
  </si>
  <si>
    <t>曲线长度</t>
    <phoneticPr fontId="4" type="noConversion"/>
  </si>
  <si>
    <t>曲线长度计算</t>
    <phoneticPr fontId="4" type="noConversion"/>
  </si>
  <si>
    <t>小时</t>
    <phoneticPr fontId="4" type="noConversion"/>
  </si>
  <si>
    <t>分</t>
    <phoneticPr fontId="4" type="noConversion"/>
  </si>
  <si>
    <t>秒</t>
    <phoneticPr fontId="4" type="noConversion"/>
  </si>
  <si>
    <t>MSTS时间</t>
    <phoneticPr fontId="4" type="noConversion"/>
  </si>
  <si>
    <t>时间计算</t>
    <phoneticPr fontId="4" type="noConversion"/>
  </si>
  <si>
    <t>公里/小时</t>
    <phoneticPr fontId="4" type="noConversion"/>
  </si>
  <si>
    <t>MSTS速度</t>
    <phoneticPr fontId="4" type="noConversion"/>
  </si>
  <si>
    <t>速度计算</t>
    <phoneticPr fontId="4" type="noConversion"/>
  </si>
  <si>
    <t>滨洲线</t>
    <phoneticPr fontId="1" type="noConversion"/>
  </si>
  <si>
    <t>平齐线</t>
    <phoneticPr fontId="1" type="noConversion"/>
  </si>
  <si>
    <t>上行限速↑</t>
    <phoneticPr fontId="1" type="noConversion"/>
  </si>
  <si>
    <t>下行限速↓</t>
    <phoneticPr fontId="1" type="noConversion"/>
  </si>
  <si>
    <t>站名</t>
    <phoneticPr fontId="1" type="noConversion"/>
  </si>
  <si>
    <t>区间km</t>
    <phoneticPr fontId="1" type="noConversion"/>
  </si>
  <si>
    <t>站场坐标</t>
    <phoneticPr fontId="1" type="noConversion"/>
  </si>
  <si>
    <t>下行限速↑</t>
    <phoneticPr fontId="1" type="noConversion"/>
  </si>
  <si>
    <t>上行限速↓</t>
    <phoneticPr fontId="1" type="noConversion"/>
  </si>
  <si>
    <t>岔限80km/h</t>
    <phoneticPr fontId="1" type="noConversion"/>
  </si>
  <si>
    <t>哈尔滨</t>
    <phoneticPr fontId="1" type="noConversion"/>
  </si>
  <si>
    <t>45.76044 126.62360</t>
    <phoneticPr fontId="1" type="noConversion"/>
  </si>
  <si>
    <t>45km/h</t>
    <phoneticPr fontId="1" type="noConversion"/>
  </si>
  <si>
    <t>80km/h</t>
    <phoneticPr fontId="1" type="noConversion"/>
  </si>
  <si>
    <t>齐齐哈尔</t>
    <phoneticPr fontId="1" type="noConversion"/>
  </si>
  <si>
    <t>齐南场</t>
    <phoneticPr fontId="1" type="noConversion"/>
  </si>
  <si>
    <t>120km/h</t>
    <phoneticPr fontId="1" type="noConversion"/>
  </si>
  <si>
    <t>142km/h</t>
    <phoneticPr fontId="1" type="noConversion"/>
  </si>
  <si>
    <t>庙台子</t>
    <phoneticPr fontId="1" type="noConversion"/>
  </si>
  <si>
    <t>45.80341 126.65744</t>
    <phoneticPr fontId="1" type="noConversion"/>
  </si>
  <si>
    <t>顾甸</t>
    <phoneticPr fontId="1" type="noConversion"/>
  </si>
  <si>
    <t>45.81401 126.44227</t>
    <phoneticPr fontId="1" type="noConversion"/>
  </si>
  <si>
    <t>大民屯</t>
    <phoneticPr fontId="1" type="noConversion"/>
  </si>
  <si>
    <t>对青山</t>
    <phoneticPr fontId="1" type="noConversion"/>
  </si>
  <si>
    <t>45.81721 126.31425</t>
    <phoneticPr fontId="1" type="noConversion"/>
  </si>
  <si>
    <t>榆树屯</t>
    <phoneticPr fontId="1" type="noConversion"/>
  </si>
  <si>
    <t>100km/h</t>
    <phoneticPr fontId="1" type="noConversion"/>
  </si>
  <si>
    <t>里木店</t>
    <phoneticPr fontId="1" type="noConversion"/>
  </si>
  <si>
    <t>45.80741 126.16448</t>
    <phoneticPr fontId="1" type="noConversion"/>
  </si>
  <si>
    <t>三间房</t>
    <phoneticPr fontId="1" type="noConversion"/>
  </si>
  <si>
    <t>姜家</t>
    <phoneticPr fontId="1" type="noConversion"/>
  </si>
  <si>
    <t>45.80259 126.04564</t>
    <phoneticPr fontId="1" type="noConversion"/>
  </si>
  <si>
    <t>榆红5km 142km/h</t>
    <phoneticPr fontId="1" type="noConversion"/>
  </si>
  <si>
    <t>肇东</t>
    <phoneticPr fontId="1" type="noConversion"/>
  </si>
  <si>
    <t>45.81817 125.92573</t>
    <phoneticPr fontId="1" type="noConversion"/>
  </si>
  <si>
    <t>榆昂6km 122km/h</t>
    <phoneticPr fontId="1" type="noConversion"/>
  </si>
  <si>
    <t>尚家</t>
    <phoneticPr fontId="1" type="noConversion"/>
  </si>
  <si>
    <t>45.80990 125.78539</t>
    <phoneticPr fontId="1" type="noConversion"/>
  </si>
  <si>
    <t>五里木</t>
    <phoneticPr fontId="1" type="noConversion"/>
  </si>
  <si>
    <t>宋</t>
    <phoneticPr fontId="1" type="noConversion"/>
  </si>
  <si>
    <t>45.78753 125.48676</t>
    <phoneticPr fontId="1" type="noConversion"/>
  </si>
  <si>
    <t>羊草</t>
    <phoneticPr fontId="1" type="noConversion"/>
  </si>
  <si>
    <t>45.81350 126.26870</t>
    <phoneticPr fontId="1" type="noConversion"/>
  </si>
  <si>
    <t>安达</t>
    <phoneticPr fontId="1" type="noConversion"/>
  </si>
  <si>
    <t>卧里屯</t>
    <phoneticPr fontId="1" type="noConversion"/>
  </si>
  <si>
    <t>龙凤</t>
    <phoneticPr fontId="1" type="noConversion"/>
  </si>
  <si>
    <t>大庆</t>
    <phoneticPr fontId="1" type="noConversion"/>
  </si>
  <si>
    <t>喇嘛甸</t>
    <phoneticPr fontId="1" type="noConversion"/>
  </si>
  <si>
    <t>齐家</t>
    <phoneticPr fontId="1" type="noConversion"/>
  </si>
  <si>
    <t>高家</t>
    <phoneticPr fontId="1" type="noConversion"/>
  </si>
  <si>
    <t>泰康</t>
    <phoneticPr fontId="1" type="noConversion"/>
  </si>
  <si>
    <t>前后代</t>
    <phoneticPr fontId="1" type="noConversion"/>
  </si>
  <si>
    <t>乌台</t>
    <phoneticPr fontId="1" type="noConversion"/>
  </si>
  <si>
    <t>烟筒屯</t>
    <phoneticPr fontId="1" type="noConversion"/>
  </si>
  <si>
    <t>二道桥</t>
    <phoneticPr fontId="1" type="noConversion"/>
  </si>
  <si>
    <t>后五家</t>
    <phoneticPr fontId="1" type="noConversion"/>
  </si>
  <si>
    <t>红旗营</t>
    <phoneticPr fontId="1" type="noConversion"/>
  </si>
  <si>
    <t>昂昂溪</t>
    <phoneticPr fontId="1" type="noConversion"/>
  </si>
  <si>
    <r>
      <t>松北</t>
    </r>
    <r>
      <rPr>
        <sz val="9"/>
        <color theme="1"/>
        <rFont val="宋体"/>
        <family val="3"/>
        <charset val="134"/>
      </rPr>
      <t>(</t>
    </r>
    <r>
      <rPr>
        <b/>
        <sz val="9"/>
        <color theme="1"/>
        <rFont val="宋体"/>
        <family val="3"/>
        <charset val="134"/>
      </rPr>
      <t>南</t>
    </r>
    <r>
      <rPr>
        <sz val="9"/>
        <color theme="1"/>
        <rFont val="宋体"/>
        <family val="3"/>
        <charset val="134"/>
      </rPr>
      <t>)</t>
    </r>
    <r>
      <rPr>
        <b/>
        <sz val="9"/>
        <color theme="1"/>
        <rFont val="宋体"/>
        <family val="3"/>
        <charset val="134"/>
      </rPr>
      <t>所</t>
    </r>
    <phoneticPr fontId="1" type="noConversion"/>
  </si>
  <si>
    <r>
      <t>万乐</t>
    </r>
    <r>
      <rPr>
        <sz val="9"/>
        <color theme="1"/>
        <rFont val="宋体"/>
        <family val="3"/>
        <charset val="134"/>
      </rPr>
      <t>(</t>
    </r>
    <r>
      <rPr>
        <b/>
        <sz val="9"/>
        <color theme="1"/>
        <rFont val="宋体"/>
        <family val="3"/>
        <charset val="134"/>
      </rPr>
      <t>东</t>
    </r>
    <r>
      <rPr>
        <sz val="9"/>
        <color theme="1"/>
        <rFont val="宋体"/>
        <family val="3"/>
        <charset val="134"/>
      </rPr>
      <t>)</t>
    </r>
    <phoneticPr fontId="1" type="noConversion"/>
  </si>
  <si>
    <r>
      <t>让胡路</t>
    </r>
    <r>
      <rPr>
        <sz val="9"/>
        <rFont val="宋体"/>
        <family val="3"/>
        <charset val="134"/>
      </rPr>
      <t>(</t>
    </r>
    <r>
      <rPr>
        <b/>
        <sz val="9"/>
        <rFont val="宋体"/>
        <family val="3"/>
        <charset val="134"/>
      </rPr>
      <t>西</t>
    </r>
    <r>
      <rPr>
        <sz val="9"/>
        <rFont val="宋体"/>
        <family val="3"/>
        <charset val="134"/>
      </rPr>
      <t>)</t>
    </r>
    <phoneticPr fontId="1" type="noConversion"/>
  </si>
  <si>
    <t>哈尔滨</t>
    <phoneticPr fontId="4" type="noConversion"/>
  </si>
  <si>
    <t>松南/松北</t>
    <phoneticPr fontId="4" type="noConversion"/>
  </si>
  <si>
    <t>庙台子/万东</t>
    <phoneticPr fontId="4" type="noConversion"/>
  </si>
  <si>
    <t>万乐/对青山</t>
    <phoneticPr fontId="4" type="noConversion"/>
  </si>
  <si>
    <t>里木店/姜家</t>
    <phoneticPr fontId="4" type="noConversion"/>
  </si>
  <si>
    <t>宋/羊草</t>
    <phoneticPr fontId="4" type="noConversion"/>
  </si>
  <si>
    <t>肇东/尚家</t>
    <phoneticPr fontId="4" type="noConversion"/>
  </si>
  <si>
    <t>铺轨</t>
    <phoneticPr fontId="4" type="noConversion"/>
  </si>
  <si>
    <t>桥涵/公路</t>
    <phoneticPr fontId="4" type="noConversion"/>
  </si>
  <si>
    <t>隔离网</t>
    <phoneticPr fontId="4" type="noConversion"/>
  </si>
  <si>
    <t>信号机/转辙机/隔离网</t>
    <phoneticPr fontId="4" type="noConversion"/>
  </si>
  <si>
    <t>站台/站房</t>
  </si>
  <si>
    <t>站台/站房</t>
    <phoneticPr fontId="4" type="noConversion"/>
  </si>
  <si>
    <t>信号机/隔离网</t>
    <phoneticPr fontId="4" type="noConversion"/>
  </si>
  <si>
    <t>桥涵/公路/松花江地形</t>
    <phoneticPr fontId="4" type="noConversion"/>
  </si>
  <si>
    <t>对-里区间地形调整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</si>
</sst>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2"/>
      <name val="宋体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charset val="134"/>
    </font>
    <font>
      <b/>
      <sz val="9"/>
      <color rgb="FFFF0000"/>
      <name val="宋体"/>
      <family val="3"/>
      <charset val="134"/>
    </font>
    <font>
      <sz val="12"/>
      <name val="宋体"/>
      <family val="3"/>
      <charset val="134"/>
    </font>
    <font>
      <b/>
      <sz val="24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i/>
      <sz val="9"/>
      <name val="宋体"/>
      <family val="3"/>
      <charset val="134"/>
    </font>
    <font>
      <i/>
      <sz val="9"/>
      <color theme="1"/>
      <name val="宋体"/>
      <family val="3"/>
      <charset val="134"/>
    </font>
    <font>
      <sz val="1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4">
    <xf numFmtId="0" fontId="0" fillId="0" borderId="0" xfId="0">
      <alignment vertical="center"/>
    </xf>
    <xf numFmtId="0" fontId="1" fillId="0" borderId="0" xfId="0" applyFont="1" applyAlignment="1">
      <alignment vertical="center" wrapText="1" shrinkToFit="1"/>
    </xf>
    <xf numFmtId="0" fontId="1" fillId="0" borderId="0" xfId="0" applyFo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 shrinkToFit="1"/>
    </xf>
    <xf numFmtId="0" fontId="1" fillId="8" borderId="42" xfId="0" applyFont="1" applyFill="1" applyBorder="1" applyAlignment="1">
      <alignment horizontal="left"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2" fillId="0" borderId="53" xfId="0" applyFont="1" applyBorder="1" applyAlignment="1">
      <alignment horizontal="center" vertical="center"/>
    </xf>
    <xf numFmtId="0" fontId="1" fillId="8" borderId="56" xfId="0" applyFont="1" applyFill="1" applyBorder="1" applyAlignment="1">
      <alignment horizontal="right" vertical="center"/>
    </xf>
    <xf numFmtId="0" fontId="1" fillId="8" borderId="37" xfId="0" applyFont="1" applyFill="1" applyBorder="1" applyAlignment="1">
      <alignment horizontal="right" vertical="center"/>
    </xf>
    <xf numFmtId="0" fontId="1" fillId="8" borderId="37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left" vertical="center"/>
    </xf>
    <xf numFmtId="0" fontId="1" fillId="8" borderId="57" xfId="0" applyFont="1" applyFill="1" applyBorder="1" applyAlignment="1">
      <alignment horizontal="right" vertical="center"/>
    </xf>
    <xf numFmtId="0" fontId="1" fillId="8" borderId="10" xfId="0" applyFont="1" applyFill="1" applyBorder="1" applyAlignment="1">
      <alignment horizontal="right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58" xfId="0" applyFont="1" applyFill="1" applyBorder="1" applyAlignment="1">
      <alignment horizontal="right" vertical="center"/>
    </xf>
    <xf numFmtId="0" fontId="1" fillId="8" borderId="27" xfId="0" applyFont="1" applyFill="1" applyBorder="1" applyAlignment="1">
      <alignment horizontal="right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left" vertical="center"/>
    </xf>
    <xf numFmtId="0" fontId="1" fillId="10" borderId="56" xfId="0" applyFont="1" applyFill="1" applyBorder="1" applyAlignment="1">
      <alignment horizontal="right" vertical="center"/>
    </xf>
    <xf numFmtId="0" fontId="1" fillId="10" borderId="37" xfId="0" applyFont="1" applyFill="1" applyBorder="1" applyAlignment="1">
      <alignment horizontal="right" vertical="center"/>
    </xf>
    <xf numFmtId="0" fontId="1" fillId="10" borderId="37" xfId="0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left" vertical="center"/>
    </xf>
    <xf numFmtId="0" fontId="1" fillId="10" borderId="57" xfId="0" applyFont="1" applyFill="1" applyBorder="1" applyAlignment="1">
      <alignment horizontal="right" vertical="center"/>
    </xf>
    <xf numFmtId="0" fontId="1" fillId="10" borderId="10" xfId="0" applyFont="1" applyFill="1" applyBorder="1" applyAlignment="1">
      <alignment horizontal="right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58" xfId="0" applyFont="1" applyFill="1" applyBorder="1" applyAlignment="1">
      <alignment horizontal="right" vertical="center"/>
    </xf>
    <xf numFmtId="0" fontId="1" fillId="10" borderId="27" xfId="0" applyFont="1" applyFill="1" applyBorder="1" applyAlignment="1">
      <alignment horizontal="right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61" xfId="0" applyFont="1" applyFill="1" applyBorder="1" applyAlignment="1">
      <alignment horizontal="right" vertical="center"/>
    </xf>
    <xf numFmtId="0" fontId="1" fillId="10" borderId="40" xfId="0" applyFont="1" applyFill="1" applyBorder="1" applyAlignment="1">
      <alignment horizontal="right" vertical="center"/>
    </xf>
    <xf numFmtId="0" fontId="1" fillId="10" borderId="40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left" vertical="center"/>
    </xf>
    <xf numFmtId="0" fontId="1" fillId="9" borderId="62" xfId="0" applyFont="1" applyFill="1" applyBorder="1" applyAlignment="1">
      <alignment horizontal="right" vertical="center"/>
    </xf>
    <xf numFmtId="0" fontId="1" fillId="9" borderId="38" xfId="0" applyFont="1" applyFill="1" applyBorder="1" applyAlignment="1">
      <alignment horizontal="right" vertical="center"/>
    </xf>
    <xf numFmtId="0" fontId="1" fillId="9" borderId="38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left" vertical="center"/>
    </xf>
    <xf numFmtId="0" fontId="1" fillId="7" borderId="59" xfId="0" applyFont="1" applyFill="1" applyBorder="1" applyAlignment="1">
      <alignment horizontal="right" vertical="center"/>
    </xf>
    <xf numFmtId="0" fontId="1" fillId="7" borderId="25" xfId="0" applyFont="1" applyFill="1" applyBorder="1" applyAlignment="1">
      <alignment horizontal="right" vertical="center"/>
    </xf>
    <xf numFmtId="0" fontId="1" fillId="7" borderId="50" xfId="0" applyFont="1" applyFill="1" applyBorder="1" applyAlignment="1">
      <alignment horizontal="left" vertical="center"/>
    </xf>
    <xf numFmtId="0" fontId="1" fillId="7" borderId="60" xfId="0" applyFont="1" applyFill="1" applyBorder="1" applyAlignment="1">
      <alignment horizontal="right" vertical="center"/>
    </xf>
    <xf numFmtId="0" fontId="1" fillId="7" borderId="24" xfId="0" applyFont="1" applyFill="1" applyBorder="1" applyAlignment="1">
      <alignment horizontal="right" vertical="center"/>
    </xf>
    <xf numFmtId="0" fontId="1" fillId="7" borderId="47" xfId="0" applyFont="1" applyFill="1" applyBorder="1" applyAlignment="1">
      <alignment horizontal="left" vertical="center"/>
    </xf>
    <xf numFmtId="0" fontId="1" fillId="7" borderId="56" xfId="0" applyFont="1" applyFill="1" applyBorder="1" applyAlignment="1">
      <alignment horizontal="right" vertical="center"/>
    </xf>
    <xf numFmtId="0" fontId="1" fillId="7" borderId="37" xfId="0" applyFont="1" applyFill="1" applyBorder="1" applyAlignment="1">
      <alignment horizontal="right" vertical="center"/>
    </xf>
    <xf numFmtId="0" fontId="1" fillId="7" borderId="41" xfId="0" applyFont="1" applyFill="1" applyBorder="1" applyAlignment="1">
      <alignment horizontal="left" vertical="center"/>
    </xf>
    <xf numFmtId="0" fontId="1" fillId="7" borderId="57" xfId="0" applyFont="1" applyFill="1" applyBorder="1" applyAlignment="1">
      <alignment horizontal="right" vertical="center"/>
    </xf>
    <xf numFmtId="0" fontId="1" fillId="7" borderId="10" xfId="0" applyFont="1" applyFill="1" applyBorder="1" applyAlignment="1">
      <alignment horizontal="right" vertical="center"/>
    </xf>
    <xf numFmtId="0" fontId="1" fillId="7" borderId="42" xfId="0" applyFont="1" applyFill="1" applyBorder="1" applyAlignment="1">
      <alignment horizontal="left" vertical="center"/>
    </xf>
    <xf numFmtId="0" fontId="1" fillId="7" borderId="58" xfId="0" applyFont="1" applyFill="1" applyBorder="1" applyAlignment="1">
      <alignment horizontal="right" vertical="center"/>
    </xf>
    <xf numFmtId="0" fontId="1" fillId="7" borderId="27" xfId="0" applyFont="1" applyFill="1" applyBorder="1" applyAlignment="1">
      <alignment horizontal="right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left" vertical="center"/>
    </xf>
    <xf numFmtId="0" fontId="1" fillId="11" borderId="57" xfId="0" applyFont="1" applyFill="1" applyBorder="1" applyAlignment="1">
      <alignment horizontal="right" vertical="center"/>
    </xf>
    <xf numFmtId="0" fontId="1" fillId="11" borderId="10" xfId="0" applyFont="1" applyFill="1" applyBorder="1" applyAlignment="1">
      <alignment horizontal="right" vertical="center"/>
    </xf>
    <xf numFmtId="0" fontId="1" fillId="11" borderId="60" xfId="0" applyFont="1" applyFill="1" applyBorder="1" applyAlignment="1">
      <alignment horizontal="right" vertical="center"/>
    </xf>
    <xf numFmtId="0" fontId="1" fillId="11" borderId="25" xfId="0" applyFont="1" applyFill="1" applyBorder="1" applyAlignment="1">
      <alignment horizontal="right" vertical="center"/>
    </xf>
    <xf numFmtId="0" fontId="1" fillId="11" borderId="56" xfId="0" applyFont="1" applyFill="1" applyBorder="1" applyAlignment="1">
      <alignment horizontal="right" vertical="center"/>
    </xf>
    <xf numFmtId="0" fontId="1" fillId="11" borderId="37" xfId="0" applyFont="1" applyFill="1" applyBorder="1" applyAlignment="1">
      <alignment horizontal="right" vertical="center"/>
    </xf>
    <xf numFmtId="0" fontId="1" fillId="11" borderId="1" xfId="0" applyFont="1" applyFill="1" applyBorder="1" applyAlignment="1">
      <alignment horizontal="right" vertical="center"/>
    </xf>
    <xf numFmtId="0" fontId="1" fillId="11" borderId="58" xfId="0" applyFont="1" applyFill="1" applyBorder="1" applyAlignment="1">
      <alignment horizontal="right" vertical="center"/>
    </xf>
    <xf numFmtId="0" fontId="1" fillId="11" borderId="27" xfId="0" applyFont="1" applyFill="1" applyBorder="1" applyAlignment="1">
      <alignment horizontal="right" vertical="center"/>
    </xf>
    <xf numFmtId="0" fontId="1" fillId="11" borderId="27" xfId="0" applyFont="1" applyFill="1" applyBorder="1" applyAlignment="1">
      <alignment horizontal="center" vertical="center"/>
    </xf>
    <xf numFmtId="0" fontId="1" fillId="11" borderId="43" xfId="0" applyFont="1" applyFill="1" applyBorder="1" applyAlignment="1">
      <alignment horizontal="left" vertical="center"/>
    </xf>
    <xf numFmtId="0" fontId="1" fillId="9" borderId="56" xfId="0" applyFont="1" applyFill="1" applyBorder="1" applyAlignment="1">
      <alignment horizontal="right" vertical="center"/>
    </xf>
    <xf numFmtId="0" fontId="1" fillId="9" borderId="37" xfId="0" applyFont="1" applyFill="1" applyBorder="1" applyAlignment="1">
      <alignment horizontal="right" vertical="center"/>
    </xf>
    <xf numFmtId="0" fontId="1" fillId="9" borderId="37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left" vertical="center"/>
    </xf>
    <xf numFmtId="0" fontId="1" fillId="9" borderId="63" xfId="0" applyFont="1" applyFill="1" applyBorder="1" applyAlignment="1">
      <alignment horizontal="right" vertical="center"/>
    </xf>
    <xf numFmtId="0" fontId="1" fillId="9" borderId="51" xfId="0" applyFont="1" applyFill="1" applyBorder="1" applyAlignment="1">
      <alignment horizontal="right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left" vertical="center"/>
    </xf>
    <xf numFmtId="0" fontId="2" fillId="0" borderId="64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68" xfId="0" applyFont="1" applyBorder="1" applyAlignment="1">
      <alignment horizontal="center" vertical="center" wrapText="1" shrinkToFit="1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49" fontId="12" fillId="8" borderId="0" xfId="0" applyNumberFormat="1" applyFont="1" applyFill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 shrinkToFit="1"/>
    </xf>
    <xf numFmtId="0" fontId="2" fillId="3" borderId="10" xfId="0" applyFont="1" applyFill="1" applyBorder="1" applyAlignment="1">
      <alignment horizontal="center" vertical="center" wrapText="1" shrinkToFit="1"/>
    </xf>
    <xf numFmtId="0" fontId="2" fillId="3" borderId="28" xfId="0" applyFont="1" applyFill="1" applyBorder="1" applyAlignment="1">
      <alignment horizontal="center" vertical="center" wrapText="1" shrinkToFit="1"/>
    </xf>
    <xf numFmtId="0" fontId="2" fillId="3" borderId="11" xfId="0" applyFont="1" applyFill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 shrinkToFit="1"/>
    </xf>
    <xf numFmtId="0" fontId="2" fillId="2" borderId="13" xfId="0" applyFont="1" applyFill="1" applyBorder="1" applyAlignment="1">
      <alignment horizontal="center" vertical="center" wrapText="1" shrinkToFit="1"/>
    </xf>
    <xf numFmtId="0" fontId="2" fillId="2" borderId="14" xfId="0" applyFont="1" applyFill="1" applyBorder="1" applyAlignment="1">
      <alignment horizontal="center" vertical="center" wrapText="1" shrinkToFit="1"/>
    </xf>
    <xf numFmtId="0" fontId="2" fillId="2" borderId="15" xfId="0" applyFont="1" applyFill="1" applyBorder="1" applyAlignment="1">
      <alignment horizontal="center" vertical="center" wrapText="1" shrinkToFit="1"/>
    </xf>
    <xf numFmtId="0" fontId="2" fillId="2" borderId="16" xfId="0" applyFont="1" applyFill="1" applyBorder="1" applyAlignment="1">
      <alignment horizontal="center" vertical="center" wrapText="1" shrinkToFit="1"/>
    </xf>
    <xf numFmtId="0" fontId="2" fillId="2" borderId="17" xfId="0" applyFont="1" applyFill="1" applyBorder="1" applyAlignment="1">
      <alignment horizontal="center" vertical="center" wrapText="1" shrinkToFit="1"/>
    </xf>
    <xf numFmtId="0" fontId="2" fillId="2" borderId="18" xfId="0" applyFont="1" applyFill="1" applyBorder="1" applyAlignment="1">
      <alignment horizontal="center" vertical="center" wrapText="1" shrinkToFit="1"/>
    </xf>
    <xf numFmtId="0" fontId="2" fillId="2" borderId="19" xfId="0" applyFont="1" applyFill="1" applyBorder="1" applyAlignment="1">
      <alignment horizontal="center" vertical="center" wrapText="1" shrinkToFit="1"/>
    </xf>
    <xf numFmtId="0" fontId="2" fillId="2" borderId="20" xfId="0" applyFont="1" applyFill="1" applyBorder="1" applyAlignment="1">
      <alignment horizontal="center" vertical="center" wrapText="1" shrinkToFit="1"/>
    </xf>
    <xf numFmtId="0" fontId="10" fillId="0" borderId="10" xfId="0" applyFont="1" applyBorder="1" applyAlignment="1">
      <alignment horizontal="center" vertical="center" wrapText="1" shrinkToFit="1"/>
    </xf>
    <xf numFmtId="0" fontId="2" fillId="0" borderId="65" xfId="0" applyFont="1" applyBorder="1" applyAlignment="1">
      <alignment horizontal="center" vertical="center" wrapText="1" shrinkToFit="1"/>
    </xf>
    <xf numFmtId="0" fontId="2" fillId="0" borderId="66" xfId="0" applyFont="1" applyBorder="1" applyAlignment="1">
      <alignment horizontal="center" vertical="center" wrapText="1" shrinkToFit="1"/>
    </xf>
    <xf numFmtId="0" fontId="2" fillId="0" borderId="67" xfId="0" applyFont="1" applyBorder="1" applyAlignment="1">
      <alignment horizontal="center" vertical="center" wrapText="1" shrinkToFit="1"/>
    </xf>
    <xf numFmtId="0" fontId="2" fillId="7" borderId="26" xfId="0" applyFont="1" applyFill="1" applyBorder="1" applyAlignment="1">
      <alignment horizontal="center" vertical="center" wrapText="1" shrinkToFit="1"/>
    </xf>
    <xf numFmtId="0" fontId="2" fillId="6" borderId="10" xfId="0" applyFont="1" applyFill="1" applyBorder="1" applyAlignment="1">
      <alignment horizontal="center" vertical="center" wrapText="1" shrinkToFit="1"/>
    </xf>
    <xf numFmtId="0" fontId="2" fillId="2" borderId="26" xfId="0" applyFont="1" applyFill="1" applyBorder="1" applyAlignment="1">
      <alignment horizontal="center" vertical="center" wrapText="1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1" fillId="0" borderId="29" xfId="0" applyFont="1" applyBorder="1" applyAlignment="1">
      <alignment horizontal="center" vertical="center" wrapText="1" shrinkToFit="1"/>
    </xf>
    <xf numFmtId="0" fontId="1" fillId="0" borderId="30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31" xfId="0" applyFont="1" applyBorder="1" applyAlignment="1">
      <alignment horizontal="center" vertical="center" wrapText="1" shrinkToFit="1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 shrinkToFit="1"/>
    </xf>
    <xf numFmtId="0" fontId="2" fillId="0" borderId="25" xfId="0" applyFont="1" applyBorder="1" applyAlignment="1">
      <alignment horizontal="center" vertical="center" wrapText="1" shrinkToFit="1"/>
    </xf>
    <xf numFmtId="0" fontId="2" fillId="0" borderId="36" xfId="0" applyFont="1" applyBorder="1" applyAlignment="1">
      <alignment horizontal="center" vertical="center" wrapText="1" shrinkToFit="1"/>
    </xf>
    <xf numFmtId="0" fontId="1" fillId="0" borderId="34" xfId="0" applyFont="1" applyBorder="1" applyAlignment="1">
      <alignment horizontal="center" vertical="center" wrapText="1" shrinkToFit="1"/>
    </xf>
    <xf numFmtId="0" fontId="1" fillId="0" borderId="35" xfId="0" applyFont="1" applyBorder="1" applyAlignment="1">
      <alignment horizontal="center" vertical="center" wrapText="1" shrinkToFit="1"/>
    </xf>
    <xf numFmtId="0" fontId="1" fillId="0" borderId="32" xfId="0" applyFont="1" applyBorder="1" applyAlignment="1">
      <alignment horizontal="center" vertical="center" wrapText="1" shrinkToFit="1"/>
    </xf>
    <xf numFmtId="0" fontId="1" fillId="0" borderId="33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0" fontId="8" fillId="8" borderId="10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11" fillId="8" borderId="10" xfId="0" applyFont="1" applyFill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31" xfId="0" applyFont="1" applyBorder="1" applyAlignment="1">
      <alignment horizontal="center" vertical="center" wrapText="1" shrinkToFit="1"/>
    </xf>
    <xf numFmtId="0" fontId="2" fillId="6" borderId="4" xfId="0" applyFont="1" applyFill="1" applyBorder="1" applyAlignment="1">
      <alignment horizontal="center" vertical="center" wrapText="1" shrinkToFit="1"/>
    </xf>
    <xf numFmtId="0" fontId="2" fillId="6" borderId="5" xfId="0" applyFont="1" applyFill="1" applyBorder="1" applyAlignment="1">
      <alignment horizontal="center" vertical="center" wrapText="1" shrinkToFit="1"/>
    </xf>
    <xf numFmtId="0" fontId="2" fillId="6" borderId="8" xfId="0" applyFont="1" applyFill="1" applyBorder="1" applyAlignment="1">
      <alignment horizontal="center" vertical="center" wrapText="1" shrinkToFit="1"/>
    </xf>
    <xf numFmtId="0" fontId="2" fillId="6" borderId="9" xfId="0" applyFont="1" applyFill="1" applyBorder="1" applyAlignment="1">
      <alignment horizontal="center" vertical="center" wrapText="1" shrinkToFit="1"/>
    </xf>
    <xf numFmtId="0" fontId="2" fillId="6" borderId="6" xfId="0" applyFont="1" applyFill="1" applyBorder="1" applyAlignment="1">
      <alignment horizontal="center" vertical="center" wrapText="1" shrinkToFit="1"/>
    </xf>
    <xf numFmtId="0" fontId="2" fillId="6" borderId="7" xfId="0" applyFont="1" applyFill="1" applyBorder="1" applyAlignment="1">
      <alignment horizontal="center" vertical="center" wrapText="1" shrinkToFit="1"/>
    </xf>
    <xf numFmtId="0" fontId="2" fillId="5" borderId="26" xfId="0" applyFont="1" applyFill="1" applyBorder="1" applyAlignment="1">
      <alignment horizontal="center" vertical="center" wrapText="1" shrinkToFit="1"/>
    </xf>
    <xf numFmtId="0" fontId="2" fillId="4" borderId="10" xfId="0" applyFont="1" applyFill="1" applyBorder="1" applyAlignment="1">
      <alignment horizontal="center" vertical="center" wrapText="1" shrinkToFit="1"/>
    </xf>
    <xf numFmtId="0" fontId="2" fillId="4" borderId="24" xfId="0" applyFont="1" applyFill="1" applyBorder="1" applyAlignment="1">
      <alignment horizontal="center" vertical="center" wrapText="1" shrinkToFit="1"/>
    </xf>
    <xf numFmtId="0" fontId="1" fillId="7" borderId="39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10" borderId="47" xfId="0" applyFont="1" applyFill="1" applyBorder="1" applyAlignment="1">
      <alignment horizontal="left" vertical="center"/>
    </xf>
    <xf numFmtId="0" fontId="1" fillId="10" borderId="45" xfId="0" applyFont="1" applyFill="1" applyBorder="1" applyAlignment="1">
      <alignment horizontal="left" vertical="center"/>
    </xf>
    <xf numFmtId="0" fontId="1" fillId="10" borderId="46" xfId="0" applyFont="1" applyFill="1" applyBorder="1" applyAlignment="1">
      <alignment horizontal="left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47" xfId="0" applyFont="1" applyFill="1" applyBorder="1" applyAlignment="1">
      <alignment horizontal="left" vertical="center"/>
    </xf>
    <xf numFmtId="0" fontId="1" fillId="11" borderId="45" xfId="0" applyFont="1" applyFill="1" applyBorder="1" applyAlignment="1">
      <alignment horizontal="left" vertical="center"/>
    </xf>
    <xf numFmtId="0" fontId="1" fillId="11" borderId="39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44" xfId="0" applyFont="1" applyFill="1" applyBorder="1" applyAlignment="1">
      <alignment horizontal="left" vertical="center"/>
    </xf>
    <xf numFmtId="0" fontId="1" fillId="11" borderId="50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12" borderId="59" xfId="0" applyFont="1" applyFill="1" applyBorder="1" applyAlignment="1">
      <alignment horizontal="right" vertical="center"/>
    </xf>
    <xf numFmtId="0" fontId="1" fillId="12" borderId="1" xfId="0" applyFont="1" applyFill="1" applyBorder="1" applyAlignment="1">
      <alignment horizontal="right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45" xfId="0" applyFont="1" applyFill="1" applyBorder="1" applyAlignment="1">
      <alignment horizontal="left" vertical="center" wrapText="1"/>
    </xf>
    <xf numFmtId="0" fontId="1" fillId="12" borderId="60" xfId="0" applyFont="1" applyFill="1" applyBorder="1" applyAlignment="1">
      <alignment horizontal="right" vertical="center"/>
    </xf>
    <xf numFmtId="0" fontId="1" fillId="12" borderId="24" xfId="0" applyFont="1" applyFill="1" applyBorder="1" applyAlignment="1">
      <alignment horizontal="right" vertical="center"/>
    </xf>
    <xf numFmtId="0" fontId="1" fillId="12" borderId="24" xfId="0" applyFont="1" applyFill="1" applyBorder="1" applyAlignment="1">
      <alignment horizontal="center" vertical="center"/>
    </xf>
    <xf numFmtId="0" fontId="1" fillId="12" borderId="56" xfId="0" applyFont="1" applyFill="1" applyBorder="1" applyAlignment="1">
      <alignment horizontal="right" vertical="center"/>
    </xf>
    <xf numFmtId="0" fontId="1" fillId="12" borderId="37" xfId="0" applyFont="1" applyFill="1" applyBorder="1" applyAlignment="1">
      <alignment horizontal="right" vertical="center"/>
    </xf>
    <xf numFmtId="0" fontId="1" fillId="12" borderId="39" xfId="0" applyFont="1" applyFill="1" applyBorder="1" applyAlignment="1">
      <alignment horizontal="center" vertical="center"/>
    </xf>
    <xf numFmtId="0" fontId="1" fillId="12" borderId="44" xfId="0" applyFont="1" applyFill="1" applyBorder="1" applyAlignment="1">
      <alignment horizontal="left" vertical="center"/>
    </xf>
    <xf numFmtId="0" fontId="1" fillId="12" borderId="57" xfId="0" applyFont="1" applyFill="1" applyBorder="1" applyAlignment="1">
      <alignment horizontal="right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45" xfId="0" applyFont="1" applyFill="1" applyBorder="1" applyAlignment="1">
      <alignment horizontal="left" vertical="center"/>
    </xf>
    <xf numFmtId="0" fontId="1" fillId="12" borderId="58" xfId="0" applyFont="1" applyFill="1" applyBorder="1" applyAlignment="1">
      <alignment horizontal="right" vertical="center"/>
    </xf>
    <xf numFmtId="0" fontId="1" fillId="12" borderId="27" xfId="0" applyFont="1" applyFill="1" applyBorder="1" applyAlignment="1">
      <alignment horizontal="right" vertical="center"/>
    </xf>
    <xf numFmtId="0" fontId="1" fillId="12" borderId="27" xfId="0" applyFont="1" applyFill="1" applyBorder="1" applyAlignment="1">
      <alignment horizontal="center" vertical="center"/>
    </xf>
    <xf numFmtId="0" fontId="1" fillId="12" borderId="46" xfId="0" applyFont="1" applyFill="1" applyBorder="1" applyAlignment="1">
      <alignment horizontal="left" vertical="center"/>
    </xf>
    <xf numFmtId="0" fontId="1" fillId="13" borderId="56" xfId="0" applyFont="1" applyFill="1" applyBorder="1" applyAlignment="1">
      <alignment horizontal="right" vertical="center"/>
    </xf>
    <xf numFmtId="0" fontId="1" fillId="13" borderId="37" xfId="0" applyFont="1" applyFill="1" applyBorder="1" applyAlignment="1">
      <alignment horizontal="right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left" vertical="center"/>
    </xf>
    <xf numFmtId="0" fontId="1" fillId="13" borderId="57" xfId="0" applyFont="1" applyFill="1" applyBorder="1" applyAlignment="1">
      <alignment horizontal="right" vertical="center"/>
    </xf>
    <xf numFmtId="0" fontId="1" fillId="13" borderId="10" xfId="0" applyFont="1" applyFill="1" applyBorder="1" applyAlignment="1">
      <alignment horizontal="right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42" xfId="0" applyFont="1" applyFill="1" applyBorder="1" applyAlignment="1">
      <alignment horizontal="left" vertical="center"/>
    </xf>
    <xf numFmtId="0" fontId="1" fillId="13" borderId="58" xfId="0" applyFont="1" applyFill="1" applyBorder="1" applyAlignment="1">
      <alignment horizontal="right" vertical="center"/>
    </xf>
    <xf numFmtId="0" fontId="1" fillId="13" borderId="27" xfId="0" applyFont="1" applyFill="1" applyBorder="1" applyAlignment="1">
      <alignment horizontal="right" vertical="center"/>
    </xf>
    <xf numFmtId="0" fontId="1" fillId="13" borderId="27" xfId="0" applyFont="1" applyFill="1" applyBorder="1" applyAlignment="1">
      <alignment horizontal="center" vertical="center"/>
    </xf>
    <xf numFmtId="0" fontId="1" fillId="13" borderId="43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99FF"/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0</xdr:rowOff>
    </xdr:from>
    <xdr:to>
      <xdr:col>11</xdr:col>
      <xdr:colOff>447675</xdr:colOff>
      <xdr:row>18</xdr:row>
      <xdr:rowOff>0</xdr:rowOff>
    </xdr:to>
    <xdr:sp macro="" textlink="">
      <xdr:nvSpPr>
        <xdr:cNvPr id="2" name="Freeform 2"/>
        <xdr:cNvSpPr>
          <a:spLocks/>
        </xdr:cNvSpPr>
      </xdr:nvSpPr>
      <xdr:spPr bwMode="auto">
        <a:xfrm>
          <a:off x="7096125" y="2181225"/>
          <a:ext cx="981075" cy="1104900"/>
        </a:xfrm>
        <a:custGeom>
          <a:avLst/>
          <a:gdLst>
            <a:gd name="T0" fmla="*/ 0 w 95"/>
            <a:gd name="T1" fmla="*/ 0 h 116"/>
            <a:gd name="T2" fmla="*/ 95 w 95"/>
            <a:gd name="T3" fmla="*/ 59 h 116"/>
            <a:gd name="T4" fmla="*/ 0 w 95"/>
            <a:gd name="T5" fmla="*/ 116 h 116"/>
            <a:gd name="T6" fmla="*/ 0 60000 65536"/>
            <a:gd name="T7" fmla="*/ 0 60000 65536"/>
            <a:gd name="T8" fmla="*/ 0 60000 65536"/>
            <a:gd name="T9" fmla="*/ 0 w 95"/>
            <a:gd name="T10" fmla="*/ 0 h 116"/>
            <a:gd name="T11" fmla="*/ 95 w 95"/>
            <a:gd name="T12" fmla="*/ 116 h 11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5" h="116">
              <a:moveTo>
                <a:pt x="0" y="0"/>
              </a:moveTo>
              <a:cubicBezTo>
                <a:pt x="16" y="10"/>
                <a:pt x="95" y="40"/>
                <a:pt x="95" y="59"/>
              </a:cubicBezTo>
              <a:cubicBezTo>
                <a:pt x="95" y="78"/>
                <a:pt x="20" y="104"/>
                <a:pt x="0" y="116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FF0000" mc:Ignorable="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59"/>
  <sheetViews>
    <sheetView workbookViewId="0">
      <selection sqref="A1:XFD1048576"/>
    </sheetView>
  </sheetViews>
  <sheetFormatPr defaultRowHeight="11.25"/>
  <cols>
    <col min="1" max="2" width="9.625" style="2" bestFit="1" customWidth="1"/>
    <col min="3" max="3" width="9.5" style="2" bestFit="1" customWidth="1"/>
    <col min="4" max="4" width="6.5" style="2" bestFit="1" customWidth="1"/>
    <col min="5" max="7" width="9" style="2"/>
    <col min="8" max="9" width="9.625" style="2" bestFit="1" customWidth="1"/>
    <col min="10" max="10" width="8" style="2" bestFit="1" customWidth="1"/>
    <col min="11" max="11" width="6.5" style="2" bestFit="1" customWidth="1"/>
    <col min="12" max="12" width="8" style="2" bestFit="1" customWidth="1"/>
    <col min="13" max="16384" width="9" style="2"/>
  </cols>
  <sheetData>
    <row r="1" spans="1:12" ht="12" thickBot="1"/>
    <row r="2" spans="1:12" ht="12" thickBot="1">
      <c r="A2" s="98" t="s">
        <v>141</v>
      </c>
      <c r="B2" s="99"/>
      <c r="C2" s="99"/>
      <c r="D2" s="99"/>
      <c r="E2" s="99"/>
      <c r="F2" s="100"/>
      <c r="H2" s="98" t="s">
        <v>142</v>
      </c>
      <c r="I2" s="99"/>
      <c r="J2" s="99"/>
      <c r="K2" s="99"/>
      <c r="L2" s="100"/>
    </row>
    <row r="3" spans="1:12">
      <c r="A3" s="74" t="s">
        <v>143</v>
      </c>
      <c r="B3" s="75" t="s">
        <v>144</v>
      </c>
      <c r="C3" s="75" t="s">
        <v>145</v>
      </c>
      <c r="D3" s="75" t="s">
        <v>146</v>
      </c>
      <c r="E3" s="126" t="s">
        <v>147</v>
      </c>
      <c r="F3" s="127"/>
      <c r="H3" s="74" t="s">
        <v>148</v>
      </c>
      <c r="I3" s="75" t="s">
        <v>149</v>
      </c>
      <c r="J3" s="75" t="s">
        <v>145</v>
      </c>
      <c r="K3" s="75" t="s">
        <v>146</v>
      </c>
      <c r="L3" s="76" t="s">
        <v>147</v>
      </c>
    </row>
    <row r="4" spans="1:12">
      <c r="A4" s="128" t="s">
        <v>150</v>
      </c>
      <c r="B4" s="129"/>
      <c r="C4" s="123" t="s">
        <v>151</v>
      </c>
      <c r="D4" s="84">
        <v>5.2</v>
      </c>
      <c r="E4" s="105" t="s">
        <v>152</v>
      </c>
      <c r="F4" s="106"/>
      <c r="H4" s="101" t="s">
        <v>153</v>
      </c>
      <c r="I4" s="102" t="s">
        <v>154</v>
      </c>
      <c r="J4" s="84" t="s">
        <v>155</v>
      </c>
      <c r="K4" s="84">
        <v>2</v>
      </c>
      <c r="L4" s="86"/>
    </row>
    <row r="5" spans="1:12">
      <c r="A5" s="130"/>
      <c r="B5" s="131"/>
      <c r="C5" s="123"/>
      <c r="D5" s="84"/>
      <c r="E5" s="107"/>
      <c r="F5" s="108"/>
      <c r="H5" s="101"/>
      <c r="I5" s="102"/>
      <c r="J5" s="84"/>
      <c r="K5" s="84"/>
      <c r="L5" s="86"/>
    </row>
    <row r="6" spans="1:12">
      <c r="A6" s="132"/>
      <c r="B6" s="133"/>
      <c r="C6" s="123" t="s">
        <v>199</v>
      </c>
      <c r="D6" s="84"/>
      <c r="E6" s="105"/>
      <c r="F6" s="106"/>
      <c r="H6" s="101"/>
      <c r="I6" s="102"/>
      <c r="J6" s="84" t="s">
        <v>156</v>
      </c>
      <c r="K6" s="84"/>
      <c r="L6" s="86"/>
    </row>
    <row r="7" spans="1:12">
      <c r="A7" s="134" t="s">
        <v>157</v>
      </c>
      <c r="B7" s="135"/>
      <c r="C7" s="123"/>
      <c r="D7" s="84">
        <v>4.3</v>
      </c>
      <c r="E7" s="107"/>
      <c r="F7" s="108"/>
      <c r="H7" s="103" t="s">
        <v>158</v>
      </c>
      <c r="I7" s="104"/>
      <c r="J7" s="84"/>
      <c r="K7" s="84">
        <v>7</v>
      </c>
      <c r="L7" s="86"/>
    </row>
    <row r="8" spans="1:12">
      <c r="A8" s="134"/>
      <c r="B8" s="135"/>
      <c r="C8" s="123" t="s">
        <v>159</v>
      </c>
      <c r="D8" s="84"/>
      <c r="E8" s="105" t="s">
        <v>160</v>
      </c>
      <c r="F8" s="106"/>
      <c r="H8" s="103"/>
      <c r="I8" s="104"/>
      <c r="J8" s="97" t="s">
        <v>161</v>
      </c>
      <c r="K8" s="84"/>
      <c r="L8" s="86"/>
    </row>
    <row r="9" spans="1:12">
      <c r="A9" s="134"/>
      <c r="B9" s="135"/>
      <c r="C9" s="123"/>
      <c r="D9" s="84">
        <v>10.5</v>
      </c>
      <c r="E9" s="107"/>
      <c r="F9" s="108"/>
      <c r="H9" s="103"/>
      <c r="I9" s="104"/>
      <c r="J9" s="97"/>
      <c r="K9" s="84"/>
      <c r="L9" s="86"/>
    </row>
    <row r="10" spans="1:12">
      <c r="A10" s="134"/>
      <c r="B10" s="136"/>
      <c r="C10" s="123" t="s">
        <v>200</v>
      </c>
      <c r="D10" s="84"/>
      <c r="E10" s="105" t="s">
        <v>162</v>
      </c>
      <c r="F10" s="106"/>
      <c r="H10" s="103"/>
      <c r="I10" s="104"/>
      <c r="J10" s="84" t="s">
        <v>163</v>
      </c>
      <c r="K10" s="84"/>
      <c r="L10" s="86"/>
    </row>
    <row r="11" spans="1:12">
      <c r="A11" s="103" t="s">
        <v>158</v>
      </c>
      <c r="B11" s="122"/>
      <c r="C11" s="123"/>
      <c r="D11" s="84">
        <v>11</v>
      </c>
      <c r="E11" s="107"/>
      <c r="F11" s="108"/>
      <c r="H11" s="103"/>
      <c r="I11" s="104"/>
      <c r="J11" s="84"/>
      <c r="K11" s="84">
        <v>13</v>
      </c>
      <c r="L11" s="86"/>
    </row>
    <row r="12" spans="1:12">
      <c r="A12" s="103"/>
      <c r="B12" s="104"/>
      <c r="C12" s="123" t="s">
        <v>164</v>
      </c>
      <c r="D12" s="84"/>
      <c r="E12" s="105" t="s">
        <v>165</v>
      </c>
      <c r="F12" s="106"/>
      <c r="H12" s="103"/>
      <c r="I12" s="104"/>
      <c r="J12" s="84" t="s">
        <v>166</v>
      </c>
      <c r="K12" s="84"/>
      <c r="L12" s="86"/>
    </row>
    <row r="13" spans="1:12">
      <c r="A13" s="103"/>
      <c r="B13" s="104"/>
      <c r="C13" s="123"/>
      <c r="D13" s="84">
        <v>10</v>
      </c>
      <c r="E13" s="107"/>
      <c r="F13" s="108"/>
      <c r="H13" s="80" t="s">
        <v>167</v>
      </c>
      <c r="I13" s="81"/>
      <c r="J13" s="84"/>
      <c r="K13" s="84">
        <v>8</v>
      </c>
      <c r="L13" s="86"/>
    </row>
    <row r="14" spans="1:12">
      <c r="A14" s="103"/>
      <c r="B14" s="104"/>
      <c r="C14" s="123" t="s">
        <v>168</v>
      </c>
      <c r="D14" s="84"/>
      <c r="E14" s="105" t="s">
        <v>169</v>
      </c>
      <c r="F14" s="106"/>
      <c r="H14" s="80"/>
      <c r="I14" s="81"/>
      <c r="J14" s="84" t="s">
        <v>170</v>
      </c>
      <c r="K14" s="84"/>
      <c r="L14" s="86"/>
    </row>
    <row r="15" spans="1:12" ht="12" thickBot="1">
      <c r="A15" s="103"/>
      <c r="B15" s="104"/>
      <c r="C15" s="123"/>
      <c r="D15" s="84">
        <v>10</v>
      </c>
      <c r="E15" s="107"/>
      <c r="F15" s="108"/>
      <c r="H15" s="82"/>
      <c r="I15" s="83"/>
      <c r="J15" s="85"/>
      <c r="K15" s="85"/>
      <c r="L15" s="87"/>
    </row>
    <row r="16" spans="1:12" ht="12" thickBot="1">
      <c r="A16" s="103"/>
      <c r="B16" s="104"/>
      <c r="C16" s="123" t="s">
        <v>171</v>
      </c>
      <c r="D16" s="84"/>
      <c r="E16" s="105" t="s">
        <v>172</v>
      </c>
      <c r="F16" s="106"/>
      <c r="H16" s="5"/>
      <c r="I16" s="5"/>
      <c r="J16" s="1"/>
      <c r="K16" s="1"/>
      <c r="L16" s="1"/>
    </row>
    <row r="17" spans="1:12">
      <c r="A17" s="103"/>
      <c r="B17" s="104"/>
      <c r="C17" s="123"/>
      <c r="D17" s="84">
        <v>11</v>
      </c>
      <c r="E17" s="107"/>
      <c r="F17" s="108"/>
      <c r="H17" s="88" t="s">
        <v>173</v>
      </c>
      <c r="I17" s="89"/>
      <c r="J17" s="90"/>
      <c r="K17" s="1"/>
      <c r="L17" s="1"/>
    </row>
    <row r="18" spans="1:12">
      <c r="A18" s="103"/>
      <c r="B18" s="104"/>
      <c r="C18" s="123" t="s">
        <v>174</v>
      </c>
      <c r="D18" s="84"/>
      <c r="E18" s="105" t="s">
        <v>175</v>
      </c>
      <c r="F18" s="106"/>
      <c r="H18" s="91"/>
      <c r="I18" s="92"/>
      <c r="J18" s="93"/>
      <c r="K18" s="5"/>
      <c r="L18" s="1"/>
    </row>
    <row r="19" spans="1:12">
      <c r="A19" s="103"/>
      <c r="B19" s="104"/>
      <c r="C19" s="123"/>
      <c r="D19" s="84">
        <v>11</v>
      </c>
      <c r="E19" s="107"/>
      <c r="F19" s="108"/>
      <c r="H19" s="91" t="s">
        <v>176</v>
      </c>
      <c r="I19" s="92"/>
      <c r="J19" s="93"/>
      <c r="K19" s="5"/>
      <c r="L19" s="1"/>
    </row>
    <row r="20" spans="1:12" ht="12" thickBot="1">
      <c r="A20" s="103"/>
      <c r="B20" s="104"/>
      <c r="C20" s="123" t="s">
        <v>177</v>
      </c>
      <c r="D20" s="84"/>
      <c r="E20" s="105" t="s">
        <v>178</v>
      </c>
      <c r="F20" s="106"/>
      <c r="H20" s="94"/>
      <c r="I20" s="95"/>
      <c r="J20" s="96"/>
      <c r="K20" s="5"/>
      <c r="L20" s="1"/>
    </row>
    <row r="21" spans="1:12">
      <c r="A21" s="103"/>
      <c r="B21" s="104"/>
      <c r="C21" s="123"/>
      <c r="D21" s="115">
        <v>21</v>
      </c>
      <c r="E21" s="107"/>
      <c r="F21" s="108"/>
    </row>
    <row r="22" spans="1:12">
      <c r="A22" s="103"/>
      <c r="B22" s="104"/>
      <c r="C22" s="125" t="s">
        <v>179</v>
      </c>
      <c r="D22" s="116"/>
      <c r="E22" s="105"/>
      <c r="F22" s="106"/>
    </row>
    <row r="23" spans="1:12">
      <c r="A23" s="103"/>
      <c r="B23" s="104"/>
      <c r="C23" s="125"/>
      <c r="D23" s="116"/>
      <c r="E23" s="107"/>
      <c r="F23" s="108"/>
    </row>
    <row r="24" spans="1:12">
      <c r="A24" s="103"/>
      <c r="B24" s="104"/>
      <c r="C24" s="123" t="s">
        <v>180</v>
      </c>
      <c r="D24" s="124"/>
      <c r="E24" s="105" t="s">
        <v>181</v>
      </c>
      <c r="F24" s="106"/>
    </row>
    <row r="25" spans="1:12">
      <c r="A25" s="103"/>
      <c r="B25" s="104"/>
      <c r="C25" s="123"/>
      <c r="D25" s="84">
        <v>21</v>
      </c>
      <c r="E25" s="107"/>
      <c r="F25" s="108"/>
    </row>
    <row r="26" spans="1:12">
      <c r="A26" s="103"/>
      <c r="B26" s="104"/>
      <c r="C26" s="123" t="s">
        <v>182</v>
      </c>
      <c r="D26" s="84"/>
      <c r="E26" s="105" t="s">
        <v>183</v>
      </c>
      <c r="F26" s="106"/>
    </row>
    <row r="27" spans="1:12">
      <c r="A27" s="103"/>
      <c r="B27" s="104"/>
      <c r="C27" s="123"/>
      <c r="D27" s="84">
        <v>11</v>
      </c>
      <c r="E27" s="107"/>
      <c r="F27" s="108"/>
    </row>
    <row r="28" spans="1:12">
      <c r="A28" s="103"/>
      <c r="B28" s="104"/>
      <c r="C28" s="84" t="s">
        <v>184</v>
      </c>
      <c r="D28" s="84"/>
      <c r="E28" s="105"/>
      <c r="F28" s="106"/>
    </row>
    <row r="29" spans="1:12">
      <c r="A29" s="103"/>
      <c r="B29" s="104"/>
      <c r="C29" s="84"/>
      <c r="D29" s="84">
        <v>11</v>
      </c>
      <c r="E29" s="107"/>
      <c r="F29" s="108"/>
    </row>
    <row r="30" spans="1:12">
      <c r="A30" s="103"/>
      <c r="B30" s="104"/>
      <c r="C30" s="84" t="s">
        <v>185</v>
      </c>
      <c r="D30" s="84"/>
      <c r="E30" s="105"/>
      <c r="F30" s="106"/>
    </row>
    <row r="31" spans="1:12">
      <c r="A31" s="103"/>
      <c r="B31" s="104"/>
      <c r="C31" s="84"/>
      <c r="D31" s="84">
        <v>11</v>
      </c>
      <c r="E31" s="107"/>
      <c r="F31" s="108"/>
    </row>
    <row r="32" spans="1:12">
      <c r="A32" s="103"/>
      <c r="B32" s="104"/>
      <c r="C32" s="84" t="s">
        <v>186</v>
      </c>
      <c r="D32" s="84"/>
      <c r="E32" s="105"/>
      <c r="F32" s="106"/>
    </row>
    <row r="33" spans="1:6">
      <c r="A33" s="103"/>
      <c r="B33" s="104"/>
      <c r="C33" s="84"/>
      <c r="D33" s="84">
        <v>10</v>
      </c>
      <c r="E33" s="107"/>
      <c r="F33" s="108"/>
    </row>
    <row r="34" spans="1:6">
      <c r="A34" s="103"/>
      <c r="B34" s="104"/>
      <c r="C34" s="84" t="s">
        <v>187</v>
      </c>
      <c r="D34" s="84"/>
      <c r="E34" s="105"/>
      <c r="F34" s="106"/>
    </row>
    <row r="35" spans="1:6">
      <c r="A35" s="103"/>
      <c r="B35" s="104"/>
      <c r="C35" s="84"/>
      <c r="D35" s="84">
        <v>12</v>
      </c>
      <c r="E35" s="107"/>
      <c r="F35" s="108"/>
    </row>
    <row r="36" spans="1:6">
      <c r="A36" s="103"/>
      <c r="B36" s="104"/>
      <c r="C36" s="84" t="s">
        <v>201</v>
      </c>
      <c r="D36" s="84"/>
      <c r="E36" s="105"/>
      <c r="F36" s="106"/>
    </row>
    <row r="37" spans="1:6">
      <c r="A37" s="103"/>
      <c r="B37" s="104"/>
      <c r="C37" s="84"/>
      <c r="D37" s="84">
        <v>10</v>
      </c>
      <c r="E37" s="107"/>
      <c r="F37" s="108"/>
    </row>
    <row r="38" spans="1:6">
      <c r="A38" s="103"/>
      <c r="B38" s="104"/>
      <c r="C38" s="84" t="s">
        <v>188</v>
      </c>
      <c r="D38" s="84"/>
      <c r="E38" s="105"/>
      <c r="F38" s="106"/>
    </row>
    <row r="39" spans="1:6">
      <c r="A39" s="103"/>
      <c r="B39" s="104"/>
      <c r="C39" s="84"/>
      <c r="D39" s="84">
        <v>21</v>
      </c>
      <c r="E39" s="107"/>
      <c r="F39" s="108"/>
    </row>
    <row r="40" spans="1:6">
      <c r="A40" s="103"/>
      <c r="B40" s="104"/>
      <c r="C40" s="97" t="s">
        <v>189</v>
      </c>
      <c r="D40" s="84"/>
      <c r="E40" s="105"/>
      <c r="F40" s="106"/>
    </row>
    <row r="41" spans="1:6">
      <c r="A41" s="103"/>
      <c r="B41" s="104"/>
      <c r="C41" s="97"/>
      <c r="D41" s="84"/>
      <c r="E41" s="107"/>
      <c r="F41" s="108"/>
    </row>
    <row r="42" spans="1:6">
      <c r="A42" s="103"/>
      <c r="B42" s="104"/>
      <c r="C42" s="84" t="s">
        <v>190</v>
      </c>
      <c r="D42" s="84"/>
      <c r="E42" s="105"/>
      <c r="F42" s="106"/>
    </row>
    <row r="43" spans="1:6">
      <c r="A43" s="103"/>
      <c r="B43" s="104"/>
      <c r="C43" s="84"/>
      <c r="D43" s="84">
        <v>11</v>
      </c>
      <c r="E43" s="107"/>
      <c r="F43" s="108"/>
    </row>
    <row r="44" spans="1:6">
      <c r="A44" s="103"/>
      <c r="B44" s="104"/>
      <c r="C44" s="84" t="s">
        <v>191</v>
      </c>
      <c r="D44" s="84"/>
      <c r="E44" s="105"/>
      <c r="F44" s="106"/>
    </row>
    <row r="45" spans="1:6">
      <c r="A45" s="103"/>
      <c r="B45" s="104"/>
      <c r="C45" s="84"/>
      <c r="D45" s="84">
        <v>17</v>
      </c>
      <c r="E45" s="107"/>
      <c r="F45" s="108"/>
    </row>
    <row r="46" spans="1:6">
      <c r="A46" s="103"/>
      <c r="B46" s="104"/>
      <c r="C46" s="97" t="s">
        <v>192</v>
      </c>
      <c r="D46" s="84"/>
      <c r="E46" s="105"/>
      <c r="F46" s="106"/>
    </row>
    <row r="47" spans="1:6">
      <c r="A47" s="103"/>
      <c r="B47" s="104"/>
      <c r="C47" s="97"/>
      <c r="D47" s="84"/>
      <c r="E47" s="120"/>
      <c r="F47" s="121"/>
    </row>
    <row r="48" spans="1:6">
      <c r="A48" s="103"/>
      <c r="B48" s="104"/>
      <c r="C48" s="97" t="s">
        <v>193</v>
      </c>
      <c r="D48" s="84"/>
      <c r="E48" s="120"/>
      <c r="F48" s="121"/>
    </row>
    <row r="49" spans="1:6">
      <c r="A49" s="103"/>
      <c r="B49" s="104"/>
      <c r="C49" s="97"/>
      <c r="D49" s="84"/>
      <c r="E49" s="107"/>
      <c r="F49" s="108"/>
    </row>
    <row r="50" spans="1:6">
      <c r="A50" s="103"/>
      <c r="B50" s="104"/>
      <c r="C50" s="84" t="s">
        <v>194</v>
      </c>
      <c r="D50" s="84"/>
      <c r="E50" s="105"/>
      <c r="F50" s="106"/>
    </row>
    <row r="51" spans="1:6">
      <c r="A51" s="103"/>
      <c r="B51" s="104"/>
      <c r="C51" s="84"/>
      <c r="D51" s="84">
        <v>23</v>
      </c>
      <c r="E51" s="107"/>
      <c r="F51" s="108"/>
    </row>
    <row r="52" spans="1:6">
      <c r="A52" s="103"/>
      <c r="B52" s="104"/>
      <c r="C52" s="97" t="s">
        <v>195</v>
      </c>
      <c r="D52" s="84"/>
      <c r="E52" s="105"/>
      <c r="F52" s="106"/>
    </row>
    <row r="53" spans="1:6">
      <c r="A53" s="103"/>
      <c r="B53" s="104"/>
      <c r="C53" s="97"/>
      <c r="D53" s="84"/>
      <c r="E53" s="120"/>
      <c r="F53" s="121"/>
    </row>
    <row r="54" spans="1:6">
      <c r="A54" s="103"/>
      <c r="B54" s="104"/>
      <c r="C54" s="97" t="s">
        <v>196</v>
      </c>
      <c r="D54" s="84"/>
      <c r="E54" s="120"/>
      <c r="F54" s="121"/>
    </row>
    <row r="55" spans="1:6">
      <c r="A55" s="103"/>
      <c r="B55" s="104"/>
      <c r="C55" s="97"/>
      <c r="D55" s="84"/>
      <c r="E55" s="107"/>
      <c r="F55" s="108"/>
    </row>
    <row r="56" spans="1:6">
      <c r="A56" s="103"/>
      <c r="B56" s="104"/>
      <c r="C56" s="84" t="s">
        <v>197</v>
      </c>
      <c r="D56" s="84"/>
      <c r="E56" s="105"/>
      <c r="F56" s="106"/>
    </row>
    <row r="57" spans="1:6">
      <c r="A57" s="109" t="s">
        <v>150</v>
      </c>
      <c r="B57" s="110"/>
      <c r="C57" s="84"/>
      <c r="D57" s="115">
        <v>9</v>
      </c>
      <c r="E57" s="107"/>
      <c r="F57" s="108"/>
    </row>
    <row r="58" spans="1:6">
      <c r="A58" s="111"/>
      <c r="B58" s="112"/>
      <c r="C58" s="84" t="s">
        <v>198</v>
      </c>
      <c r="D58" s="116"/>
      <c r="E58" s="105"/>
      <c r="F58" s="106"/>
    </row>
    <row r="59" spans="1:6" ht="12" thickBot="1">
      <c r="A59" s="113"/>
      <c r="B59" s="114"/>
      <c r="C59" s="85"/>
      <c r="D59" s="117"/>
      <c r="E59" s="118"/>
      <c r="F59" s="119"/>
    </row>
  </sheetData>
  <mergeCells count="105">
    <mergeCell ref="D7:D8"/>
    <mergeCell ref="C8:C9"/>
    <mergeCell ref="E8:F9"/>
    <mergeCell ref="D9:D10"/>
    <mergeCell ref="C10:C11"/>
    <mergeCell ref="E10:F11"/>
    <mergeCell ref="A2:F2"/>
    <mergeCell ref="E3:F3"/>
    <mergeCell ref="A4:B6"/>
    <mergeCell ref="C4:C5"/>
    <mergeCell ref="D4:D6"/>
    <mergeCell ref="E4:F5"/>
    <mergeCell ref="C6:C7"/>
    <mergeCell ref="E6:F7"/>
    <mergeCell ref="A7:A10"/>
    <mergeCell ref="B7:B10"/>
    <mergeCell ref="D17:D18"/>
    <mergeCell ref="C18:C19"/>
    <mergeCell ref="E18:F19"/>
    <mergeCell ref="D19:D20"/>
    <mergeCell ref="C20:C21"/>
    <mergeCell ref="E20:F21"/>
    <mergeCell ref="D21:D24"/>
    <mergeCell ref="C22:C23"/>
    <mergeCell ref="E22:F23"/>
    <mergeCell ref="C24:C25"/>
    <mergeCell ref="C16:C17"/>
    <mergeCell ref="E16:F17"/>
    <mergeCell ref="E24:F25"/>
    <mergeCell ref="D25:D26"/>
    <mergeCell ref="C26:C27"/>
    <mergeCell ref="E26:F27"/>
    <mergeCell ref="D27:D28"/>
    <mergeCell ref="C28:C29"/>
    <mergeCell ref="E28:F29"/>
    <mergeCell ref="D29:D30"/>
    <mergeCell ref="C30:C31"/>
    <mergeCell ref="E30:F31"/>
    <mergeCell ref="D31:D32"/>
    <mergeCell ref="C32:C33"/>
    <mergeCell ref="E32:F33"/>
    <mergeCell ref="D33:D34"/>
    <mergeCell ref="C34:C35"/>
    <mergeCell ref="E34:F35"/>
    <mergeCell ref="D35:D36"/>
    <mergeCell ref="C36:C37"/>
    <mergeCell ref="E36:F37"/>
    <mergeCell ref="D37:D38"/>
    <mergeCell ref="C38:C39"/>
    <mergeCell ref="E38:F39"/>
    <mergeCell ref="D39:D42"/>
    <mergeCell ref="C40:C41"/>
    <mergeCell ref="E40:F41"/>
    <mergeCell ref="C42:C43"/>
    <mergeCell ref="E42:F43"/>
    <mergeCell ref="D43:D44"/>
    <mergeCell ref="C44:C45"/>
    <mergeCell ref="E44:F45"/>
    <mergeCell ref="C56:C57"/>
    <mergeCell ref="E56:F57"/>
    <mergeCell ref="A57:B59"/>
    <mergeCell ref="D57:D59"/>
    <mergeCell ref="C58:C59"/>
    <mergeCell ref="E58:F59"/>
    <mergeCell ref="D45:D50"/>
    <mergeCell ref="C46:C47"/>
    <mergeCell ref="E46:F49"/>
    <mergeCell ref="C48:C49"/>
    <mergeCell ref="C50:C51"/>
    <mergeCell ref="E50:F51"/>
    <mergeCell ref="D51:D56"/>
    <mergeCell ref="C52:C53"/>
    <mergeCell ref="E52:F55"/>
    <mergeCell ref="C54:C55"/>
    <mergeCell ref="A11:B56"/>
    <mergeCell ref="D11:D12"/>
    <mergeCell ref="C12:C13"/>
    <mergeCell ref="E12:F13"/>
    <mergeCell ref="D13:D14"/>
    <mergeCell ref="C14:C15"/>
    <mergeCell ref="E14:F15"/>
    <mergeCell ref="D15:D16"/>
    <mergeCell ref="H2:L2"/>
    <mergeCell ref="H4:H6"/>
    <mergeCell ref="I4:I6"/>
    <mergeCell ref="J4:J5"/>
    <mergeCell ref="K4:K6"/>
    <mergeCell ref="L4:L5"/>
    <mergeCell ref="J6:J7"/>
    <mergeCell ref="L6:L7"/>
    <mergeCell ref="H7:I12"/>
    <mergeCell ref="K7:K10"/>
    <mergeCell ref="H13:I15"/>
    <mergeCell ref="K13:K15"/>
    <mergeCell ref="J14:J15"/>
    <mergeCell ref="L14:L15"/>
    <mergeCell ref="H17:J18"/>
    <mergeCell ref="H19:J20"/>
    <mergeCell ref="J8:J9"/>
    <mergeCell ref="L8:L9"/>
    <mergeCell ref="J10:J11"/>
    <mergeCell ref="L10:L11"/>
    <mergeCell ref="K11:K12"/>
    <mergeCell ref="J12:J13"/>
    <mergeCell ref="L12:L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38"/>
  <sheetViews>
    <sheetView tabSelected="1" workbookViewId="0">
      <selection activeCell="E11" sqref="E11"/>
    </sheetView>
  </sheetViews>
  <sheetFormatPr defaultRowHeight="11.25"/>
  <cols>
    <col min="1" max="1" width="24.75" style="2" bestFit="1" customWidth="1"/>
    <col min="2" max="2" width="22.25" style="2" bestFit="1" customWidth="1"/>
    <col min="3" max="3" width="29.625" style="2" bestFit="1" customWidth="1"/>
    <col min="4" max="4" width="66.375" style="2" bestFit="1" customWidth="1"/>
    <col min="5" max="16384" width="9" style="2"/>
  </cols>
  <sheetData>
    <row r="1" spans="1:4" ht="32.25" thickBot="1">
      <c r="A1" s="139" t="s">
        <v>0</v>
      </c>
      <c r="B1" s="139"/>
      <c r="C1" s="139"/>
      <c r="D1" s="139"/>
    </row>
    <row r="2" spans="1:4" ht="12.75" thickTop="1" thickBot="1">
      <c r="A2" s="9" t="s">
        <v>1</v>
      </c>
      <c r="B2" s="3" t="s">
        <v>2</v>
      </c>
      <c r="C2" s="3" t="s">
        <v>3</v>
      </c>
      <c r="D2" s="4" t="s">
        <v>4</v>
      </c>
    </row>
    <row r="3" spans="1:4" ht="12" thickTop="1">
      <c r="A3" s="10" t="s">
        <v>5</v>
      </c>
      <c r="B3" s="11" t="s">
        <v>6</v>
      </c>
      <c r="C3" s="12" t="s">
        <v>7</v>
      </c>
      <c r="D3" s="13" t="s">
        <v>8</v>
      </c>
    </row>
    <row r="4" spans="1:4">
      <c r="A4" s="14" t="s">
        <v>40</v>
      </c>
      <c r="B4" s="15" t="s">
        <v>41</v>
      </c>
      <c r="C4" s="16" t="s">
        <v>118</v>
      </c>
      <c r="D4" s="6" t="s">
        <v>117</v>
      </c>
    </row>
    <row r="5" spans="1:4">
      <c r="A5" s="14" t="s">
        <v>12</v>
      </c>
      <c r="B5" s="15" t="s">
        <v>13</v>
      </c>
      <c r="C5" s="16" t="s">
        <v>14</v>
      </c>
      <c r="D5" s="6" t="s">
        <v>128</v>
      </c>
    </row>
    <row r="6" spans="1:4">
      <c r="A6" s="14" t="s">
        <v>9</v>
      </c>
      <c r="B6" s="15" t="s">
        <v>10</v>
      </c>
      <c r="C6" s="16" t="s">
        <v>11</v>
      </c>
      <c r="D6" s="6" t="s">
        <v>127</v>
      </c>
    </row>
    <row r="7" spans="1:4" ht="12" thickBot="1">
      <c r="A7" s="17" t="s">
        <v>99</v>
      </c>
      <c r="B7" s="18" t="s">
        <v>100</v>
      </c>
      <c r="C7" s="19" t="s">
        <v>101</v>
      </c>
      <c r="D7" s="20" t="s">
        <v>119</v>
      </c>
    </row>
    <row r="8" spans="1:4" ht="12" thickTop="1">
      <c r="A8" s="14" t="s">
        <v>37</v>
      </c>
      <c r="B8" s="15" t="s">
        <v>38</v>
      </c>
      <c r="C8" s="16" t="s">
        <v>39</v>
      </c>
      <c r="D8" s="6" t="s">
        <v>126</v>
      </c>
    </row>
    <row r="9" spans="1:4" ht="12" thickBot="1">
      <c r="A9" s="14" t="s">
        <v>96</v>
      </c>
      <c r="B9" s="15" t="s">
        <v>97</v>
      </c>
      <c r="C9" s="16" t="s">
        <v>98</v>
      </c>
      <c r="D9" s="6" t="s">
        <v>125</v>
      </c>
    </row>
    <row r="10" spans="1:4" ht="12" thickTop="1">
      <c r="A10" s="172" t="s">
        <v>42</v>
      </c>
      <c r="B10" s="173" t="s">
        <v>43</v>
      </c>
      <c r="C10" s="174" t="s">
        <v>44</v>
      </c>
      <c r="D10" s="175" t="s">
        <v>45</v>
      </c>
    </row>
    <row r="11" spans="1:4">
      <c r="A11" s="176" t="s">
        <v>46</v>
      </c>
      <c r="B11" s="177" t="s">
        <v>47</v>
      </c>
      <c r="C11" s="178" t="s">
        <v>48</v>
      </c>
      <c r="D11" s="179" t="s">
        <v>49</v>
      </c>
    </row>
    <row r="12" spans="1:4">
      <c r="A12" s="176" t="s">
        <v>102</v>
      </c>
      <c r="B12" s="177" t="s">
        <v>103</v>
      </c>
      <c r="C12" s="178" t="s">
        <v>104</v>
      </c>
      <c r="D12" s="179" t="s">
        <v>105</v>
      </c>
    </row>
    <row r="13" spans="1:4" ht="12" thickBot="1">
      <c r="A13" s="180" t="s">
        <v>106</v>
      </c>
      <c r="B13" s="181" t="s">
        <v>107</v>
      </c>
      <c r="C13" s="182" t="s">
        <v>108</v>
      </c>
      <c r="D13" s="183" t="s">
        <v>109</v>
      </c>
    </row>
    <row r="14" spans="1:4" ht="12" thickTop="1">
      <c r="A14" s="154" t="s">
        <v>15</v>
      </c>
      <c r="B14" s="155" t="s">
        <v>16</v>
      </c>
      <c r="C14" s="156" t="s">
        <v>17</v>
      </c>
      <c r="D14" s="157" t="s">
        <v>124</v>
      </c>
    </row>
    <row r="15" spans="1:4" ht="12" thickBot="1">
      <c r="A15" s="158" t="s">
        <v>18</v>
      </c>
      <c r="B15" s="159" t="s">
        <v>19</v>
      </c>
      <c r="C15" s="160" t="s">
        <v>20</v>
      </c>
      <c r="D15" s="157"/>
    </row>
    <row r="16" spans="1:4" ht="12" thickTop="1">
      <c r="A16" s="161" t="s">
        <v>83</v>
      </c>
      <c r="B16" s="162" t="s">
        <v>84</v>
      </c>
      <c r="C16" s="163" t="s">
        <v>85</v>
      </c>
      <c r="D16" s="164" t="s">
        <v>86</v>
      </c>
    </row>
    <row r="17" spans="1:4">
      <c r="A17" s="165" t="s">
        <v>87</v>
      </c>
      <c r="B17" s="155" t="s">
        <v>88</v>
      </c>
      <c r="C17" s="166"/>
      <c r="D17" s="167"/>
    </row>
    <row r="18" spans="1:4" ht="12" thickBot="1">
      <c r="A18" s="168" t="s">
        <v>89</v>
      </c>
      <c r="B18" s="169" t="s">
        <v>90</v>
      </c>
      <c r="C18" s="170" t="s">
        <v>91</v>
      </c>
      <c r="D18" s="171"/>
    </row>
    <row r="19" spans="1:4" ht="12" thickTop="1">
      <c r="A19" s="21" t="s">
        <v>21</v>
      </c>
      <c r="B19" s="22" t="s">
        <v>22</v>
      </c>
      <c r="C19" s="23" t="s">
        <v>23</v>
      </c>
      <c r="D19" s="24" t="s">
        <v>24</v>
      </c>
    </row>
    <row r="20" spans="1:4">
      <c r="A20" s="25" t="s">
        <v>25</v>
      </c>
      <c r="B20" s="26" t="s">
        <v>26</v>
      </c>
      <c r="C20" s="27" t="s">
        <v>27</v>
      </c>
      <c r="D20" s="140" t="s">
        <v>28</v>
      </c>
    </row>
    <row r="21" spans="1:4">
      <c r="A21" s="25" t="s">
        <v>29</v>
      </c>
      <c r="B21" s="26" t="s">
        <v>30</v>
      </c>
      <c r="C21" s="27" t="s">
        <v>31</v>
      </c>
      <c r="D21" s="141"/>
    </row>
    <row r="22" spans="1:4">
      <c r="A22" s="25" t="s">
        <v>32</v>
      </c>
      <c r="B22" s="26" t="s">
        <v>33</v>
      </c>
      <c r="C22" s="27" t="s">
        <v>23</v>
      </c>
      <c r="D22" s="141"/>
    </row>
    <row r="23" spans="1:4" ht="12" thickBot="1">
      <c r="A23" s="28" t="s">
        <v>34</v>
      </c>
      <c r="B23" s="29" t="s">
        <v>35</v>
      </c>
      <c r="C23" s="30" t="s">
        <v>36</v>
      </c>
      <c r="D23" s="142"/>
    </row>
    <row r="24" spans="1:4" ht="12.75" thickTop="1" thickBot="1">
      <c r="A24" s="31" t="s">
        <v>114</v>
      </c>
      <c r="B24" s="32" t="s">
        <v>115</v>
      </c>
      <c r="C24" s="33" t="s">
        <v>23</v>
      </c>
      <c r="D24" s="34" t="s">
        <v>116</v>
      </c>
    </row>
    <row r="25" spans="1:4" ht="12.75" thickTop="1" thickBot="1">
      <c r="A25" s="35" t="s">
        <v>50</v>
      </c>
      <c r="B25" s="36" t="s">
        <v>51</v>
      </c>
      <c r="C25" s="37" t="s">
        <v>52</v>
      </c>
      <c r="D25" s="38" t="s">
        <v>53</v>
      </c>
    </row>
    <row r="26" spans="1:4" ht="12" thickTop="1">
      <c r="A26" s="39" t="s">
        <v>54</v>
      </c>
      <c r="B26" s="40" t="s">
        <v>55</v>
      </c>
      <c r="C26" s="137" t="s">
        <v>56</v>
      </c>
      <c r="D26" s="41" t="s">
        <v>57</v>
      </c>
    </row>
    <row r="27" spans="1:4" ht="12" thickBot="1">
      <c r="A27" s="42" t="s">
        <v>60</v>
      </c>
      <c r="B27" s="43" t="s">
        <v>61</v>
      </c>
      <c r="C27" s="138"/>
      <c r="D27" s="44" t="s">
        <v>62</v>
      </c>
    </row>
    <row r="28" spans="1:4" ht="12" thickTop="1">
      <c r="A28" s="45" t="s">
        <v>58</v>
      </c>
      <c r="B28" s="46" t="s">
        <v>59</v>
      </c>
      <c r="C28" s="143" t="s">
        <v>80</v>
      </c>
      <c r="D28" s="47" t="s">
        <v>120</v>
      </c>
    </row>
    <row r="29" spans="1:4">
      <c r="A29" s="48" t="s">
        <v>78</v>
      </c>
      <c r="B29" s="49" t="s">
        <v>79</v>
      </c>
      <c r="C29" s="144"/>
      <c r="D29" s="50" t="s">
        <v>121</v>
      </c>
    </row>
    <row r="30" spans="1:4" ht="12" thickBot="1">
      <c r="A30" s="51" t="s">
        <v>81</v>
      </c>
      <c r="B30" s="52" t="s">
        <v>82</v>
      </c>
      <c r="C30" s="53" t="s">
        <v>80</v>
      </c>
      <c r="D30" s="54" t="s">
        <v>122</v>
      </c>
    </row>
    <row r="31" spans="1:4" ht="12" thickTop="1">
      <c r="A31" s="55" t="s">
        <v>63</v>
      </c>
      <c r="B31" s="56" t="s">
        <v>64</v>
      </c>
      <c r="C31" s="145" t="s">
        <v>65</v>
      </c>
      <c r="D31" s="147" t="s">
        <v>123</v>
      </c>
    </row>
    <row r="32" spans="1:4" ht="12" thickBot="1">
      <c r="A32" s="57" t="s">
        <v>66</v>
      </c>
      <c r="B32" s="58" t="s">
        <v>67</v>
      </c>
      <c r="C32" s="146"/>
      <c r="D32" s="148"/>
    </row>
    <row r="33" spans="1:4" ht="12" thickTop="1">
      <c r="A33" s="59" t="s">
        <v>68</v>
      </c>
      <c r="B33" s="60" t="s">
        <v>69</v>
      </c>
      <c r="C33" s="149" t="s">
        <v>70</v>
      </c>
      <c r="D33" s="151" t="s">
        <v>71</v>
      </c>
    </row>
    <row r="34" spans="1:4">
      <c r="A34" s="55" t="s">
        <v>72</v>
      </c>
      <c r="B34" s="61" t="s">
        <v>73</v>
      </c>
      <c r="C34" s="150"/>
      <c r="D34" s="152"/>
    </row>
    <row r="35" spans="1:4" ht="12" thickBot="1">
      <c r="A35" s="62" t="s">
        <v>74</v>
      </c>
      <c r="B35" s="63" t="s">
        <v>75</v>
      </c>
      <c r="C35" s="64" t="s">
        <v>76</v>
      </c>
      <c r="D35" s="65" t="s">
        <v>77</v>
      </c>
    </row>
    <row r="36" spans="1:4" ht="12" thickTop="1">
      <c r="A36" s="66" t="s">
        <v>92</v>
      </c>
      <c r="B36" s="67" t="s">
        <v>93</v>
      </c>
      <c r="C36" s="68" t="s">
        <v>94</v>
      </c>
      <c r="D36" s="69" t="s">
        <v>95</v>
      </c>
    </row>
    <row r="37" spans="1:4" ht="12" thickBot="1">
      <c r="A37" s="70" t="s">
        <v>110</v>
      </c>
      <c r="B37" s="71" t="s">
        <v>111</v>
      </c>
      <c r="C37" s="72" t="s">
        <v>112</v>
      </c>
      <c r="D37" s="73" t="s">
        <v>113</v>
      </c>
    </row>
    <row r="38" spans="1:4" ht="12" thickTop="1"/>
  </sheetData>
  <mergeCells count="11">
    <mergeCell ref="C28:C29"/>
    <mergeCell ref="C31:C32"/>
    <mergeCell ref="D31:D32"/>
    <mergeCell ref="C33:C34"/>
    <mergeCell ref="D33:D34"/>
    <mergeCell ref="C26:C27"/>
    <mergeCell ref="A1:D1"/>
    <mergeCell ref="D14:D15"/>
    <mergeCell ref="C16:C17"/>
    <mergeCell ref="D16:D18"/>
    <mergeCell ref="D20:D23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7"/>
  <sheetViews>
    <sheetView workbookViewId="0">
      <selection sqref="A1:XFD1048576"/>
    </sheetView>
  </sheetViews>
  <sheetFormatPr defaultRowHeight="14.25"/>
  <cols>
    <col min="1" max="1" width="10.5" style="8" bestFit="1" customWidth="1"/>
    <col min="2" max="2" width="9.5" style="8" bestFit="1" customWidth="1"/>
    <col min="3" max="3" width="3.5" style="8" bestFit="1" customWidth="1"/>
    <col min="4" max="4" width="12.75" style="8" bestFit="1" customWidth="1"/>
    <col min="5" max="5" width="13.875" style="8" bestFit="1" customWidth="1"/>
    <col min="6" max="16384" width="9" style="8"/>
  </cols>
  <sheetData>
    <row r="1" spans="1:5">
      <c r="A1" s="7" t="s">
        <v>129</v>
      </c>
      <c r="B1" s="7" t="s">
        <v>130</v>
      </c>
      <c r="C1" s="7"/>
      <c r="D1" s="7" t="s">
        <v>131</v>
      </c>
      <c r="E1" s="153" t="s">
        <v>132</v>
      </c>
    </row>
    <row r="2" spans="1:5">
      <c r="A2" s="7">
        <v>1000</v>
      </c>
      <c r="B2" s="7">
        <v>10</v>
      </c>
      <c r="C2" s="7"/>
      <c r="D2" s="7">
        <f>2*3.14*A2*(B2/360)</f>
        <v>174.44444444444443</v>
      </c>
      <c r="E2" s="153"/>
    </row>
    <row r="3" spans="1:5">
      <c r="A3" s="7">
        <v>750</v>
      </c>
      <c r="B3" s="7">
        <v>10</v>
      </c>
      <c r="C3" s="7"/>
      <c r="D3" s="7">
        <f>2*3.14*A3*(B3/360)</f>
        <v>130.83333333333331</v>
      </c>
      <c r="E3" s="153"/>
    </row>
    <row r="4" spans="1:5">
      <c r="A4" s="7">
        <v>500</v>
      </c>
      <c r="B4" s="7">
        <v>10</v>
      </c>
      <c r="C4" s="7"/>
      <c r="D4" s="7">
        <f t="shared" ref="D4:D10" si="0">2*3.14*A4*(B4/360)</f>
        <v>87.222222222222214</v>
      </c>
      <c r="E4" s="153"/>
    </row>
    <row r="5" spans="1:5">
      <c r="A5" s="7">
        <v>375</v>
      </c>
      <c r="B5" s="7">
        <v>10</v>
      </c>
      <c r="C5" s="7"/>
      <c r="D5" s="7">
        <f t="shared" si="0"/>
        <v>65.416666666666657</v>
      </c>
      <c r="E5" s="153"/>
    </row>
    <row r="6" spans="1:5">
      <c r="A6" s="7">
        <v>250</v>
      </c>
      <c r="B6" s="7">
        <v>10</v>
      </c>
      <c r="C6" s="7"/>
      <c r="D6" s="7">
        <f t="shared" si="0"/>
        <v>43.611111111111107</v>
      </c>
      <c r="E6" s="153"/>
    </row>
    <row r="7" spans="1:5">
      <c r="A7" s="7">
        <v>1500</v>
      </c>
      <c r="B7" s="7">
        <v>10</v>
      </c>
      <c r="C7" s="7"/>
      <c r="D7" s="7">
        <f t="shared" si="0"/>
        <v>261.66666666666663</v>
      </c>
      <c r="E7" s="153"/>
    </row>
    <row r="8" spans="1:5">
      <c r="A8" s="7">
        <v>2000</v>
      </c>
      <c r="B8" s="7">
        <v>10</v>
      </c>
      <c r="C8" s="7"/>
      <c r="D8" s="7">
        <f t="shared" si="0"/>
        <v>348.88888888888886</v>
      </c>
      <c r="E8" s="153"/>
    </row>
    <row r="9" spans="1:5">
      <c r="A9" s="7">
        <v>3000</v>
      </c>
      <c r="B9" s="7">
        <v>10</v>
      </c>
      <c r="C9" s="7"/>
      <c r="D9" s="7">
        <f t="shared" si="0"/>
        <v>523.33333333333326</v>
      </c>
      <c r="E9" s="153"/>
    </row>
    <row r="10" spans="1:5">
      <c r="A10" s="7">
        <v>4000</v>
      </c>
      <c r="B10" s="7">
        <v>10</v>
      </c>
      <c r="C10" s="7"/>
      <c r="D10" s="7">
        <f t="shared" si="0"/>
        <v>697.77777777777771</v>
      </c>
      <c r="E10" s="153"/>
    </row>
    <row r="11" spans="1:5">
      <c r="A11" s="7"/>
      <c r="B11" s="7"/>
      <c r="C11" s="7"/>
      <c r="D11" s="7"/>
      <c r="E11" s="7"/>
    </row>
    <row r="12" spans="1:5">
      <c r="A12" s="7" t="s">
        <v>133</v>
      </c>
      <c r="B12" s="7" t="s">
        <v>134</v>
      </c>
      <c r="C12" s="7" t="s">
        <v>135</v>
      </c>
      <c r="D12" s="7" t="s">
        <v>136</v>
      </c>
      <c r="E12" s="153" t="s">
        <v>137</v>
      </c>
    </row>
    <row r="13" spans="1:5">
      <c r="A13" s="7">
        <v>10</v>
      </c>
      <c r="B13" s="7">
        <v>2</v>
      </c>
      <c r="C13" s="7">
        <v>2</v>
      </c>
      <c r="D13" s="7">
        <f t="shared" ref="D13:D18" si="1">3600*A13+360*B13+C13</f>
        <v>36722</v>
      </c>
      <c r="E13" s="153"/>
    </row>
    <row r="14" spans="1:5">
      <c r="A14" s="7"/>
      <c r="B14" s="7"/>
      <c r="C14" s="7"/>
      <c r="D14" s="7">
        <f t="shared" si="1"/>
        <v>0</v>
      </c>
      <c r="E14" s="153"/>
    </row>
    <row r="15" spans="1:5">
      <c r="A15" s="7"/>
      <c r="B15" s="7"/>
      <c r="C15" s="7"/>
      <c r="D15" s="7">
        <f t="shared" si="1"/>
        <v>0</v>
      </c>
      <c r="E15" s="153"/>
    </row>
    <row r="16" spans="1:5">
      <c r="A16" s="7"/>
      <c r="B16" s="7"/>
      <c r="C16" s="7"/>
      <c r="D16" s="7">
        <f t="shared" si="1"/>
        <v>0</v>
      </c>
      <c r="E16" s="153"/>
    </row>
    <row r="17" spans="1:5">
      <c r="A17" s="7"/>
      <c r="B17" s="7"/>
      <c r="C17" s="7"/>
      <c r="D17" s="7">
        <f t="shared" si="1"/>
        <v>0</v>
      </c>
      <c r="E17" s="153"/>
    </row>
    <row r="18" spans="1:5">
      <c r="A18" s="7"/>
      <c r="B18" s="7"/>
      <c r="C18" s="7"/>
      <c r="D18" s="7">
        <f t="shared" si="1"/>
        <v>0</v>
      </c>
      <c r="E18" s="153"/>
    </row>
    <row r="19" spans="1:5">
      <c r="A19" s="7"/>
      <c r="B19" s="7"/>
      <c r="C19" s="7"/>
      <c r="D19" s="7"/>
      <c r="E19" s="7"/>
    </row>
    <row r="20" spans="1:5">
      <c r="A20" s="7" t="s">
        <v>138</v>
      </c>
      <c r="B20" s="7"/>
      <c r="C20" s="7"/>
      <c r="D20" s="7" t="s">
        <v>139</v>
      </c>
      <c r="E20" s="153" t="s">
        <v>140</v>
      </c>
    </row>
    <row r="21" spans="1:5">
      <c r="A21" s="7">
        <v>160</v>
      </c>
      <c r="B21" s="7"/>
      <c r="C21" s="7"/>
      <c r="D21" s="7">
        <f>A21*1000/3600</f>
        <v>44.444444444444443</v>
      </c>
      <c r="E21" s="153"/>
    </row>
    <row r="22" spans="1:5">
      <c r="A22" s="7">
        <v>120</v>
      </c>
      <c r="B22" s="7"/>
      <c r="C22" s="7"/>
      <c r="D22" s="7">
        <f t="shared" ref="D22:D27" si="2">A22*1000/3600</f>
        <v>33.333333333333336</v>
      </c>
      <c r="E22" s="153"/>
    </row>
    <row r="23" spans="1:5">
      <c r="A23" s="7">
        <v>100</v>
      </c>
      <c r="B23" s="7"/>
      <c r="C23" s="7"/>
      <c r="D23" s="7">
        <f t="shared" si="2"/>
        <v>27.777777777777779</v>
      </c>
      <c r="E23" s="153"/>
    </row>
    <row r="24" spans="1:5">
      <c r="A24" s="7">
        <v>80</v>
      </c>
      <c r="B24" s="7"/>
      <c r="C24" s="7"/>
      <c r="D24" s="7">
        <f t="shared" si="2"/>
        <v>22.222222222222221</v>
      </c>
      <c r="E24" s="153"/>
    </row>
    <row r="25" spans="1:5">
      <c r="A25" s="7">
        <v>60</v>
      </c>
      <c r="B25" s="7"/>
      <c r="C25" s="7"/>
      <c r="D25" s="7">
        <f t="shared" si="2"/>
        <v>16.666666666666668</v>
      </c>
      <c r="E25" s="153"/>
    </row>
    <row r="26" spans="1:5">
      <c r="A26" s="7">
        <v>45</v>
      </c>
      <c r="B26" s="7"/>
      <c r="C26" s="7"/>
      <c r="D26" s="7">
        <f t="shared" si="2"/>
        <v>12.5</v>
      </c>
      <c r="E26" s="153"/>
    </row>
    <row r="27" spans="1:5">
      <c r="A27" s="7">
        <v>20</v>
      </c>
      <c r="B27" s="7"/>
      <c r="C27" s="7"/>
      <c r="D27" s="7">
        <f t="shared" si="2"/>
        <v>5.5555555555555554</v>
      </c>
      <c r="E27" s="153"/>
    </row>
  </sheetData>
  <mergeCells count="3">
    <mergeCell ref="E1:E10"/>
    <mergeCell ref="E12:E18"/>
    <mergeCell ref="E20:E27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J5"/>
  <sheetViews>
    <sheetView workbookViewId="0">
      <selection activeCell="B1" sqref="B1:B1048576"/>
    </sheetView>
  </sheetViews>
  <sheetFormatPr defaultRowHeight="12"/>
  <cols>
    <col min="1" max="1" width="9" style="77"/>
    <col min="2" max="2" width="18.75" style="78" bestFit="1" customWidth="1"/>
    <col min="3" max="3" width="8.875" style="78" bestFit="1" customWidth="1"/>
    <col min="4" max="4" width="10.5" style="78" bestFit="1" customWidth="1"/>
    <col min="5" max="5" width="16" style="78" bestFit="1" customWidth="1"/>
    <col min="6" max="8" width="18.75" style="78" bestFit="1" customWidth="1"/>
    <col min="9" max="9" width="9" style="77"/>
    <col min="10" max="10" width="18.75" style="77" bestFit="1" customWidth="1"/>
    <col min="11" max="16384" width="9" style="77"/>
  </cols>
  <sheetData>
    <row r="1" spans="2:10">
      <c r="B1" s="78" t="s">
        <v>202</v>
      </c>
      <c r="C1" s="78" t="s">
        <v>203</v>
      </c>
      <c r="D1" s="78" t="s">
        <v>204</v>
      </c>
      <c r="E1" s="78" t="s">
        <v>205</v>
      </c>
      <c r="F1" s="78" t="s">
        <v>206</v>
      </c>
      <c r="G1" s="78" t="s">
        <v>208</v>
      </c>
      <c r="H1" s="78" t="s">
        <v>207</v>
      </c>
    </row>
    <row r="2" spans="2:10">
      <c r="E2" s="79" t="s">
        <v>217</v>
      </c>
      <c r="G2" s="79" t="s">
        <v>209</v>
      </c>
      <c r="H2" s="79" t="s">
        <v>209</v>
      </c>
      <c r="J2" s="77" t="s">
        <v>212</v>
      </c>
    </row>
    <row r="3" spans="2:10">
      <c r="B3" s="79" t="s">
        <v>216</v>
      </c>
      <c r="C3" s="79" t="s">
        <v>210</v>
      </c>
      <c r="D3" s="79" t="s">
        <v>210</v>
      </c>
      <c r="E3" s="78" t="s">
        <v>210</v>
      </c>
      <c r="F3" s="78" t="s">
        <v>210</v>
      </c>
      <c r="G3" s="78" t="s">
        <v>210</v>
      </c>
      <c r="H3" s="78" t="s">
        <v>210</v>
      </c>
      <c r="J3" s="77" t="s">
        <v>210</v>
      </c>
    </row>
    <row r="4" spans="2:10">
      <c r="B4" s="78" t="s">
        <v>211</v>
      </c>
      <c r="C4" s="78" t="s">
        <v>211</v>
      </c>
      <c r="D4" s="78" t="s">
        <v>211</v>
      </c>
      <c r="E4" s="78" t="s">
        <v>215</v>
      </c>
      <c r="F4" s="78" t="s">
        <v>212</v>
      </c>
      <c r="G4" s="78" t="s">
        <v>212</v>
      </c>
      <c r="H4" s="78" t="s">
        <v>212</v>
      </c>
      <c r="J4" s="77" t="s">
        <v>214</v>
      </c>
    </row>
    <row r="5" spans="2:10">
      <c r="B5" s="78" t="s">
        <v>213</v>
      </c>
      <c r="C5" s="78" t="s">
        <v>213</v>
      </c>
      <c r="D5" s="78" t="s">
        <v>213</v>
      </c>
      <c r="E5" s="78" t="s">
        <v>213</v>
      </c>
      <c r="F5" s="78" t="s">
        <v>213</v>
      </c>
      <c r="G5" s="78" t="s">
        <v>213</v>
      </c>
      <c r="H5" s="78" t="s">
        <v>213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里程限速表</vt:lpstr>
      <vt:lpstr>信号机说明</vt:lpstr>
      <vt:lpstr>MSTS计算器</vt:lpstr>
      <vt:lpstr>进度表</vt:lpstr>
    </vt:vector>
  </TitlesOfParts>
  <Company>ChenZiV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滨州线设计参照表</dc:title>
  <dc:creator>ChenZiV</dc:creator>
  <cp:lastModifiedBy>ChenZiV</cp:lastModifiedBy>
  <dcterms:created xsi:type="dcterms:W3CDTF">2006-12-17T14:40:43Z</dcterms:created>
  <dcterms:modified xsi:type="dcterms:W3CDTF">2009-12-23T07:50:49Z</dcterms:modified>
</cp:coreProperties>
</file>